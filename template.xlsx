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Ticket-Review" sheetId="2" r:id="rId5"/>
    <sheet state="visible" name="Chat-Review" sheetId="3" r:id="rId6"/>
  </sheets>
  <definedNames/>
  <calcPr/>
</workbook>
</file>

<file path=xl/sharedStrings.xml><?xml version="1.0" encoding="utf-8"?>
<sst xmlns="http://schemas.openxmlformats.org/spreadsheetml/2006/main" count="105" uniqueCount="80">
  <si>
    <t>Quarterly Employee Performance Review</t>
  </si>
  <si>
    <t>Employee Information</t>
  </si>
  <si>
    <t>Performance Review Period</t>
  </si>
  <si>
    <t>Name</t>
  </si>
  <si>
    <t>Athira Chandran</t>
  </si>
  <si>
    <t>Department</t>
  </si>
  <si>
    <t>HA Support (India)</t>
  </si>
  <si>
    <t>Reviewer</t>
  </si>
  <si>
    <t>Performance Evaluation</t>
  </si>
  <si>
    <t>Excelent</t>
  </si>
  <si>
    <t xml:space="preserve">Good </t>
  </si>
  <si>
    <t>Average</t>
  </si>
  <si>
    <t>Poor</t>
  </si>
  <si>
    <t>Comment</t>
  </si>
  <si>
    <t>Quality of Support</t>
  </si>
  <si>
    <t>CSAT</t>
  </si>
  <si>
    <t>Productivity</t>
  </si>
  <si>
    <t>Technical Skills</t>
  </si>
  <si>
    <t>Communication Skills</t>
  </si>
  <si>
    <t>Willingness to Learn</t>
  </si>
  <si>
    <t xml:space="preserve">Attendance </t>
  </si>
  <si>
    <t xml:space="preserve">Attitude </t>
  </si>
  <si>
    <t>Month 1 Ticket/Chat Stats</t>
  </si>
  <si>
    <t>Daily target = 40</t>
  </si>
  <si>
    <t>Month 2 Ticket/Chat Stats</t>
  </si>
  <si>
    <t>Month 3 Ticket/Chat Stats</t>
  </si>
  <si>
    <t>Target</t>
  </si>
  <si>
    <t>Result</t>
  </si>
  <si>
    <t xml:space="preserve">CSAT </t>
  </si>
  <si>
    <t>Comment on Ticket/live chat stats from Employee</t>
  </si>
  <si>
    <t>Final Comments from HOD/HR on performance review/ Improvements</t>
  </si>
  <si>
    <t>Total Score</t>
  </si>
  <si>
    <t>Weights</t>
  </si>
  <si>
    <t>Tickets target</t>
  </si>
  <si>
    <t>Reached per day 1 point = 30</t>
  </si>
  <si>
    <t>Live chat target</t>
  </si>
  <si>
    <t>Good</t>
  </si>
  <si>
    <t>Abuse Target reached</t>
  </si>
  <si>
    <t>Number of abuse/ 30 days</t>
  </si>
  <si>
    <t xml:space="preserve">Work Consisitency </t>
  </si>
  <si>
    <t>PE total</t>
  </si>
  <si>
    <t>Month 1 Ticket Stats</t>
  </si>
  <si>
    <t>Target Total</t>
  </si>
  <si>
    <t>Live chats Month 1</t>
  </si>
  <si>
    <t>Final Total</t>
  </si>
  <si>
    <t>Feedback</t>
  </si>
  <si>
    <t>Technical Capability</t>
  </si>
  <si>
    <t>Communication</t>
  </si>
  <si>
    <t>Empathy</t>
  </si>
  <si>
    <t>Investigative Approach</t>
  </si>
  <si>
    <t>Ticket Ownership</t>
  </si>
  <si>
    <t>Escalation</t>
  </si>
  <si>
    <t>Ticket Quality</t>
  </si>
  <si>
    <t>Guest/Sensitive Data Cases</t>
  </si>
  <si>
    <t>Positive Client Feedback</t>
  </si>
  <si>
    <t>Key Concerns</t>
  </si>
  <si>
    <t>Attribute and Score</t>
  </si>
  <si>
    <t>Rationale</t>
  </si>
  <si>
    <t xml:space="preserve">Quality of Support: </t>
  </si>
  <si>
    <t xml:space="preserve">CSAT: </t>
  </si>
  <si>
    <t xml:space="preserve">Productivity: </t>
  </si>
  <si>
    <t xml:space="preserve">Technical Skills: </t>
  </si>
  <si>
    <t xml:space="preserve">Communication Skills: </t>
  </si>
  <si>
    <t xml:space="preserve">Willingness to Learn: </t>
  </si>
  <si>
    <t xml:space="preserve">Attitude: </t>
  </si>
  <si>
    <t xml:space="preserve">Overall summary and score: </t>
  </si>
  <si>
    <r>
      <rPr>
        <rFont val="Arial"/>
        <b/>
        <color theme="1"/>
        <sz val="12.0"/>
      </rPr>
      <t xml:space="preserve">CSAT Ratings Summary: </t>
    </r>
    <r>
      <rPr>
        <rFont val="Arial"/>
        <color theme="1"/>
      </rPr>
      <t xml:space="preserve">
Negative Reviews:  
Positive Reviews:  
Neutral Reviews:  
Average Chat Duration:  
Average First Response Time: </t>
    </r>
  </si>
  <si>
    <t>Area</t>
  </si>
  <si>
    <t>Score (1–5)</t>
  </si>
  <si>
    <t>Summary</t>
  </si>
  <si>
    <t>Timing</t>
  </si>
  <si>
    <t>Tone</t>
  </si>
  <si>
    <t>Language &amp; Grammar</t>
  </si>
  <si>
    <t>Empathy / Listening</t>
  </si>
  <si>
    <t>Endings</t>
  </si>
  <si>
    <t>Escalations</t>
  </si>
  <si>
    <t>KPI</t>
  </si>
  <si>
    <t>Score (1–10)</t>
  </si>
  <si>
    <t xml:space="preserve">Overall Score: </t>
  </si>
  <si>
    <t xml:space="preserve">Trend vs Previous Review: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</si>
</sst>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24.0"/>
      <color rgb="FF000000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u/>
      <sz val="11.0"/>
      <color rgb="FF0563C1"/>
      <name val="Calibri"/>
    </font>
    <font>
      <color theme="1"/>
      <name val="Arial"/>
    </font>
    <font>
      <b/>
      <sz val="12.0"/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  <fill>
      <patternFill patternType="solid">
        <fgColor rgb="FFA9D18E"/>
        <bgColor rgb="FFA9D18E"/>
      </patternFill>
    </fill>
    <fill>
      <patternFill patternType="solid">
        <fgColor rgb="FFC5E0B4"/>
        <bgColor rgb="FFC5E0B4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4B183"/>
        <bgColor rgb="FFF4B183"/>
      </patternFill>
    </fill>
    <fill>
      <patternFill patternType="solid">
        <fgColor rgb="FFB4C7E7"/>
        <bgColor rgb="FFB4C7E7"/>
      </patternFill>
    </fill>
    <fill>
      <patternFill patternType="solid">
        <fgColor rgb="FFFFC000"/>
        <bgColor rgb="FFFFC000"/>
      </patternFill>
    </fill>
    <fill>
      <patternFill patternType="solid">
        <fgColor rgb="FF9DC3E6"/>
        <bgColor rgb="FF9DC3E6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63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/>
      <top/>
      <bottom/>
    </border>
    <border>
      <left/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/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/>
      <top/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ck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ck">
        <color rgb="FF000000"/>
      </right>
      <top/>
      <bottom style="thick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ck">
        <color rgb="FF000000"/>
      </left>
      <top/>
      <bottom style="thick">
        <color rgb="FF000000"/>
      </bottom>
    </border>
    <border>
      <top/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shrinkToFit="0" vertical="bottom" wrapText="0"/>
    </xf>
    <xf borderId="8" fillId="3" fontId="3" numFmtId="0" xfId="0" applyAlignment="1" applyBorder="1" applyFont="1">
      <alignment shrinkToFit="0" vertical="bottom" wrapText="0"/>
    </xf>
    <xf borderId="9" fillId="3" fontId="3" numFmtId="0" xfId="0" applyAlignment="1" applyBorder="1" applyFont="1">
      <alignment shrinkToFit="0" vertical="bottom" wrapText="0"/>
    </xf>
    <xf borderId="10" fillId="4" fontId="3" numFmtId="0" xfId="0" applyAlignment="1" applyBorder="1" applyFill="1" applyFont="1">
      <alignment horizontal="center" shrinkToFit="0" vertical="bottom" wrapText="0"/>
    </xf>
    <xf borderId="11" fillId="0" fontId="2" numFmtId="0" xfId="0" applyBorder="1" applyFont="1"/>
    <xf borderId="12" fillId="3" fontId="3" numFmtId="0" xfId="0" applyAlignment="1" applyBorder="1" applyFont="1">
      <alignment shrinkToFit="0" vertical="bottom" wrapText="0"/>
    </xf>
    <xf borderId="13" fillId="0" fontId="2" numFmtId="0" xfId="0" applyBorder="1" applyFont="1"/>
    <xf borderId="7" fillId="5" fontId="3" numFmtId="0" xfId="0" applyAlignment="1" applyBorder="1" applyFill="1" applyFont="1">
      <alignment shrinkToFit="0" vertical="bottom" wrapText="0"/>
    </xf>
    <xf borderId="14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15" fillId="0" fontId="3" numFmtId="0" xfId="0" applyAlignment="1" applyBorder="1" applyFont="1">
      <alignment readingOrder="0" shrinkToFit="0" vertical="bottom" wrapText="0"/>
    </xf>
    <xf borderId="16" fillId="5" fontId="3" numFmtId="0" xfId="0" applyAlignment="1" applyBorder="1" applyFont="1">
      <alignment shrinkToFit="0" vertical="bottom" wrapText="0"/>
    </xf>
    <xf borderId="17" fillId="0" fontId="3" numFmtId="0" xfId="0" applyAlignment="1" applyBorder="1" applyFont="1">
      <alignment shrinkToFit="0" vertical="bottom" wrapText="0"/>
    </xf>
    <xf borderId="18" fillId="6" fontId="3" numFmtId="0" xfId="0" applyAlignment="1" applyBorder="1" applyFill="1" applyFont="1">
      <alignment shrinkToFit="0" vertical="bottom" wrapText="0"/>
    </xf>
    <xf borderId="10" fillId="6" fontId="3" numFmtId="0" xfId="0" applyAlignment="1" applyBorder="1" applyFont="1">
      <alignment horizontal="center" shrinkToFit="0" vertical="bottom" wrapText="0"/>
    </xf>
    <xf borderId="8" fillId="3" fontId="3" numFmtId="0" xfId="0" applyAlignment="1" applyBorder="1" applyFont="1">
      <alignment shrinkToFit="0" vertical="bottom" wrapText="0"/>
    </xf>
    <xf borderId="19" fillId="7" fontId="3" numFmtId="0" xfId="0" applyAlignment="1" applyBorder="1" applyFill="1" applyFont="1">
      <alignment shrinkToFit="0" vertical="bottom" wrapText="0"/>
    </xf>
    <xf borderId="20" fillId="0" fontId="3" numFmtId="0" xfId="0" applyAlignment="1" applyBorder="1" applyFont="1">
      <alignment readingOrder="0" shrinkToFit="0" vertical="bottom" wrapText="0"/>
    </xf>
    <xf borderId="21" fillId="0" fontId="3" numFmtId="0" xfId="0" applyAlignment="1" applyBorder="1" applyFont="1">
      <alignment horizontal="center" readingOrder="0" shrinkToFit="0" vertical="bottom" wrapText="0"/>
    </xf>
    <xf borderId="22" fillId="0" fontId="3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horizontal="center" readingOrder="0" shrinkToFit="0" vertical="bottom" wrapText="0"/>
    </xf>
    <xf borderId="23" fillId="0" fontId="3" numFmtId="0" xfId="0" applyAlignment="1" applyBorder="1" applyFont="1">
      <alignment shrinkToFit="0" vertical="bottom" wrapText="0"/>
    </xf>
    <xf borderId="24" fillId="0" fontId="3" numFmtId="0" xfId="0" applyAlignment="1" applyBorder="1" applyFont="1">
      <alignment horizontal="center" readingOrder="0" shrinkToFit="0" vertical="bottom" wrapText="0"/>
    </xf>
    <xf borderId="25" fillId="0" fontId="3" numFmtId="0" xfId="0" applyAlignment="1" applyBorder="1" applyFont="1">
      <alignment readingOrder="0" shrinkToFit="0" vertical="bottom" wrapText="0"/>
    </xf>
    <xf borderId="26" fillId="7" fontId="3" numFmtId="0" xfId="0" applyAlignment="1" applyBorder="1" applyFont="1">
      <alignment shrinkToFit="0" vertical="bottom" wrapText="0"/>
    </xf>
    <xf borderId="27" fillId="0" fontId="3" numFmtId="0" xfId="0" applyAlignment="1" applyBorder="1" applyFont="1">
      <alignment shrinkToFit="0" vertical="bottom" wrapText="0"/>
    </xf>
    <xf borderId="28" fillId="0" fontId="3" numFmtId="0" xfId="0" applyAlignment="1" applyBorder="1" applyFont="1">
      <alignment horizontal="center" readingOrder="0" shrinkToFit="0" vertical="bottom" wrapText="0"/>
    </xf>
    <xf borderId="29" fillId="0" fontId="3" numFmtId="0" xfId="0" applyAlignment="1" applyBorder="1" applyFont="1">
      <alignment shrinkToFit="0" vertical="bottom" wrapText="0"/>
    </xf>
    <xf borderId="28" fillId="0" fontId="3" numFmtId="0" xfId="0" applyAlignment="1" applyBorder="1" applyFont="1">
      <alignment horizontal="center" shrinkToFit="0" vertical="bottom" wrapText="0"/>
    </xf>
    <xf borderId="30" fillId="7" fontId="3" numFmtId="0" xfId="0" applyAlignment="1" applyBorder="1" applyFont="1">
      <alignment shrinkToFit="0" vertical="bottom" wrapText="0"/>
    </xf>
    <xf borderId="31" fillId="0" fontId="3" numFmtId="0" xfId="0" applyAlignment="1" applyBorder="1" applyFont="1">
      <alignment shrinkToFit="0" vertical="bottom" wrapText="0"/>
    </xf>
    <xf borderId="32" fillId="0" fontId="3" numFmtId="0" xfId="0" applyAlignment="1" applyBorder="1" applyFont="1">
      <alignment horizontal="center" readingOrder="0" shrinkToFit="0" vertical="bottom" wrapText="0"/>
    </xf>
    <xf borderId="33" fillId="0" fontId="3" numFmtId="0" xfId="0" applyAlignment="1" applyBorder="1" applyFont="1">
      <alignment shrinkToFit="0" vertical="bottom" wrapText="0"/>
    </xf>
    <xf borderId="34" fillId="8" fontId="3" numFmtId="0" xfId="0" applyAlignment="1" applyBorder="1" applyFill="1" applyFont="1">
      <alignment shrinkToFit="0" vertical="bottom" wrapText="0"/>
    </xf>
    <xf borderId="18" fillId="8" fontId="3" numFmtId="0" xfId="0" applyAlignment="1" applyBorder="1" applyFont="1">
      <alignment horizontal="center" shrinkToFit="0" vertical="center" wrapText="0"/>
    </xf>
    <xf borderId="7" fillId="7" fontId="3" numFmtId="0" xfId="0" applyAlignment="1" applyBorder="1" applyFont="1">
      <alignment shrinkToFit="0" vertical="bottom" wrapText="0"/>
    </xf>
    <xf borderId="35" fillId="7" fontId="3" numFmtId="0" xfId="0" applyAlignment="1" applyBorder="1" applyFont="1">
      <alignment horizontal="center" readingOrder="0" shrinkToFit="0" vertical="center" wrapText="0"/>
    </xf>
    <xf borderId="36" fillId="7" fontId="3" numFmtId="0" xfId="0" applyAlignment="1" applyBorder="1" applyFont="1">
      <alignment horizontal="center" readingOrder="0" shrinkToFit="0" vertical="center" wrapText="0"/>
    </xf>
    <xf borderId="8" fillId="3" fontId="3" numFmtId="0" xfId="0" applyAlignment="1" applyBorder="1" applyFont="1">
      <alignment readingOrder="0" shrinkToFit="0" vertical="bottom" wrapText="0"/>
    </xf>
    <xf borderId="18" fillId="8" fontId="3" numFmtId="0" xfId="0" applyAlignment="1" applyBorder="1" applyFont="1">
      <alignment shrinkToFit="0" vertical="bottom" wrapText="0"/>
    </xf>
    <xf borderId="16" fillId="7" fontId="3" numFmtId="0" xfId="0" applyAlignment="1" applyBorder="1" applyFont="1">
      <alignment shrinkToFit="0" vertical="bottom" wrapText="0"/>
    </xf>
    <xf borderId="37" fillId="7" fontId="3" numFmtId="0" xfId="0" applyAlignment="1" applyBorder="1" applyFont="1">
      <alignment horizontal="center" readingOrder="0" shrinkToFit="0" vertical="center" wrapText="0"/>
    </xf>
    <xf borderId="38" fillId="7" fontId="3" numFmtId="0" xfId="0" applyAlignment="1" applyBorder="1" applyFont="1">
      <alignment horizontal="center" readingOrder="0" shrinkToFit="0" vertical="center" wrapText="0"/>
    </xf>
    <xf borderId="39" fillId="7" fontId="4" numFmtId="0" xfId="0" applyAlignment="1" applyBorder="1" applyFont="1">
      <alignment shrinkToFit="0" vertical="bottom" wrapText="0"/>
    </xf>
    <xf borderId="40" fillId="7" fontId="4" numFmtId="0" xfId="0" applyAlignment="1" applyBorder="1" applyFont="1">
      <alignment shrinkToFit="0" vertical="bottom" wrapText="0"/>
    </xf>
    <xf borderId="34" fillId="7" fontId="4" numFmtId="0" xfId="0" applyAlignment="1" applyBorder="1" applyFont="1">
      <alignment shrinkToFit="0" vertical="bottom" wrapText="0"/>
    </xf>
    <xf borderId="41" fillId="3" fontId="3" numFmtId="0" xfId="0" applyAlignment="1" applyBorder="1" applyFont="1">
      <alignment horizontal="center" shrinkToFit="0" vertical="bottom" wrapText="0"/>
    </xf>
    <xf borderId="42" fillId="3" fontId="3" numFmtId="0" xfId="0" applyAlignment="1" applyBorder="1" applyFont="1">
      <alignment shrinkToFit="0" vertical="bottom" wrapText="0"/>
    </xf>
    <xf borderId="41" fillId="3" fontId="3" numFmtId="9" xfId="0" applyAlignment="1" applyBorder="1" applyFont="1" applyNumberFormat="1">
      <alignment horizontal="center" shrinkToFit="0" vertical="bottom" wrapText="0"/>
    </xf>
    <xf borderId="42" fillId="3" fontId="3" numFmtId="0" xfId="0" applyAlignment="1" applyBorder="1" applyFont="1">
      <alignment readingOrder="0" shrinkToFit="0" vertical="bottom" wrapText="0"/>
    </xf>
    <xf borderId="43" fillId="7" fontId="4" numFmtId="0" xfId="0" applyAlignment="1" applyBorder="1" applyFont="1">
      <alignment horizontal="center" shrinkToFit="0" vertical="bottom" wrapText="0"/>
    </xf>
    <xf borderId="44" fillId="0" fontId="2" numFmtId="0" xfId="0" applyBorder="1" applyFont="1"/>
    <xf borderId="45" fillId="0" fontId="2" numFmtId="0" xfId="0" applyBorder="1" applyFont="1"/>
    <xf borderId="46" fillId="3" fontId="3" numFmtId="0" xfId="0" applyAlignment="1" applyBorder="1" applyFont="1">
      <alignment horizontal="center" shrinkToFit="0" vertical="bottom" wrapText="0"/>
    </xf>
    <xf borderId="47" fillId="0" fontId="2" numFmtId="0" xfId="0" applyBorder="1" applyFont="1"/>
    <xf borderId="48" fillId="0" fontId="2" numFmtId="0" xfId="0" applyBorder="1" applyFont="1"/>
    <xf borderId="49" fillId="3" fontId="3" numFmtId="0" xfId="0" applyAlignment="1" applyBorder="1" applyFont="1">
      <alignment horizontal="center" shrinkToFit="0" vertical="bottom" wrapText="0"/>
    </xf>
    <xf borderId="50" fillId="0" fontId="2" numFmtId="0" xfId="0" applyBorder="1" applyFont="1"/>
    <xf borderId="51" fillId="0" fontId="2" numFmtId="0" xfId="0" applyBorder="1" applyFont="1"/>
    <xf borderId="10" fillId="7" fontId="4" numFmtId="0" xfId="0" applyAlignment="1" applyBorder="1" applyFont="1">
      <alignment horizontal="center" shrinkToFit="0" vertical="bottom" wrapText="0"/>
    </xf>
    <xf borderId="52" fillId="3" fontId="3" numFmtId="0" xfId="0" applyAlignment="1" applyBorder="1" applyFont="1">
      <alignment horizontal="center" shrinkToFit="0" vertical="bottom" wrapText="0"/>
    </xf>
    <xf borderId="53" fillId="0" fontId="2" numFmtId="0" xfId="0" applyBorder="1" applyFont="1"/>
    <xf borderId="54" fillId="0" fontId="2" numFmtId="0" xfId="0" applyBorder="1" applyFont="1"/>
    <xf borderId="10" fillId="9" fontId="3" numFmtId="0" xfId="0" applyAlignment="1" applyBorder="1" applyFill="1" applyFont="1">
      <alignment horizontal="center" shrinkToFit="0" vertical="bottom" wrapText="0"/>
    </xf>
    <xf borderId="18" fillId="3" fontId="3" numFmtId="0" xfId="0" applyAlignment="1" applyBorder="1" applyFont="1">
      <alignment shrinkToFit="0" vertical="bottom" wrapText="0"/>
    </xf>
    <xf borderId="16" fillId="3" fontId="3" numFmtId="0" xfId="0" applyAlignment="1" applyBorder="1" applyFont="1">
      <alignment shrinkToFit="0" vertical="bottom" wrapText="0"/>
    </xf>
    <xf borderId="55" fillId="3" fontId="3" numFmtId="0" xfId="0" applyAlignment="1" applyBorder="1" applyFont="1">
      <alignment shrinkToFit="0" vertical="bottom" wrapText="0"/>
    </xf>
    <xf borderId="56" fillId="3" fontId="3" numFmtId="0" xfId="0" applyAlignment="1" applyBorder="1" applyFont="1">
      <alignment shrinkToFit="0" vertical="bottom" wrapText="0"/>
    </xf>
    <xf borderId="43" fillId="10" fontId="3" numFmtId="0" xfId="0" applyAlignment="1" applyBorder="1" applyFill="1" applyFont="1">
      <alignment horizontal="center" shrinkToFit="0" vertical="bottom" wrapText="0"/>
    </xf>
    <xf borderId="10" fillId="2" fontId="3" numFmtId="0" xfId="0" applyAlignment="1" applyBorder="1" applyFont="1">
      <alignment horizontal="center" shrinkToFit="0" vertical="bottom" wrapText="0"/>
    </xf>
    <xf borderId="15" fillId="0" fontId="3" numFmtId="0" xfId="0" applyAlignment="1" applyBorder="1" applyFont="1">
      <alignment shrinkToFit="0" vertical="bottom" wrapText="0"/>
    </xf>
    <xf borderId="15" fillId="0" fontId="5" numFmtId="0" xfId="0" applyAlignment="1" applyBorder="1" applyFont="1">
      <alignment horizontal="right" vertical="bottom"/>
    </xf>
    <xf borderId="10" fillId="11" fontId="3" numFmtId="0" xfId="0" applyAlignment="1" applyBorder="1" applyFill="1" applyFont="1">
      <alignment horizontal="center" shrinkToFit="0" vertical="bottom" wrapText="0"/>
    </xf>
    <xf borderId="17" fillId="0" fontId="5" numFmtId="0" xfId="0" applyAlignment="1" applyBorder="1" applyFont="1">
      <alignment horizontal="right" vertical="bottom"/>
    </xf>
    <xf borderId="57" fillId="11" fontId="3" numFmtId="0" xfId="0" applyAlignment="1" applyBorder="1" applyFont="1">
      <alignment horizontal="center" shrinkToFit="0" vertical="bottom" wrapText="0"/>
    </xf>
    <xf borderId="58" fillId="0" fontId="2" numFmtId="0" xfId="0" applyBorder="1" applyFont="1"/>
    <xf borderId="59" fillId="0" fontId="2" numFmtId="0" xfId="0" applyBorder="1" applyFont="1"/>
    <xf borderId="1" fillId="0" fontId="3" numFmtId="0" xfId="0" applyAlignment="1" applyBorder="1" applyFont="1">
      <alignment shrinkToFit="0" vertical="bottom" wrapText="0"/>
    </xf>
    <xf borderId="60" fillId="0" fontId="3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shrinkToFit="0" vertical="bottom" wrapText="0"/>
    </xf>
    <xf borderId="18" fillId="0" fontId="3" numFmtId="0" xfId="0" applyAlignment="1" applyBorder="1" applyFont="1">
      <alignment shrinkToFit="0" vertical="bottom" wrapText="0"/>
    </xf>
    <xf borderId="20" fillId="11" fontId="3" numFmtId="0" xfId="0" applyAlignment="1" applyBorder="1" applyFont="1">
      <alignment shrinkToFit="0" vertical="bottom" wrapText="0"/>
    </xf>
    <xf borderId="61" fillId="12" fontId="3" numFmtId="0" xfId="0" applyAlignment="1" applyBorder="1" applyFill="1" applyFont="1">
      <alignment shrinkToFit="0" vertical="bottom" wrapText="0"/>
    </xf>
    <xf borderId="40" fillId="8" fontId="3" numFmtId="0" xfId="0" applyAlignment="1" applyBorder="1" applyFont="1">
      <alignment shrinkToFit="0" vertical="bottom" wrapText="0"/>
    </xf>
    <xf borderId="27" fillId="11" fontId="3" numFmtId="0" xfId="0" applyAlignment="1" applyBorder="1" applyFont="1">
      <alignment shrinkToFit="0" vertical="bottom" wrapText="0"/>
    </xf>
    <xf borderId="15" fillId="12" fontId="3" numFmtId="0" xfId="0" applyAlignment="1" applyBorder="1" applyFont="1">
      <alignment shrinkToFit="0" vertical="bottom" wrapText="0"/>
    </xf>
    <xf borderId="35" fillId="7" fontId="3" numFmtId="0" xfId="0" applyAlignment="1" applyBorder="1" applyFont="1">
      <alignment shrinkToFit="0" vertical="bottom" wrapText="0"/>
    </xf>
    <xf borderId="31" fillId="11" fontId="3" numFmtId="0" xfId="0" applyAlignment="1" applyBorder="1" applyFont="1">
      <alignment shrinkToFit="0" vertical="bottom" wrapText="0"/>
    </xf>
    <xf borderId="17" fillId="12" fontId="3" numFmtId="0" xfId="0" applyAlignment="1" applyBorder="1" applyFont="1">
      <alignment shrinkToFit="0" vertical="bottom" wrapText="0"/>
    </xf>
    <xf borderId="37" fillId="7" fontId="3" numFmtId="0" xfId="0" applyAlignment="1" applyBorder="1" applyFont="1">
      <alignment shrinkToFit="0" vertical="bottom" wrapText="0"/>
    </xf>
    <xf borderId="34" fillId="13" fontId="3" numFmtId="0" xfId="0" applyAlignment="1" applyBorder="1" applyFill="1" applyFont="1">
      <alignment shrinkToFit="0" vertical="bottom" wrapText="0"/>
    </xf>
    <xf borderId="18" fillId="13" fontId="3" numFmtId="0" xfId="0" applyAlignment="1" applyBorder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0" fillId="3" fontId="3" numFmtId="0" xfId="0" applyAlignment="1" applyFont="1">
      <alignment horizontal="center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3" fontId="6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28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28" fillId="0" fontId="8" numFmtId="0" xfId="0" applyAlignment="1" applyBorder="1" applyFont="1">
      <alignment shrinkToFit="0" vertical="bottom" wrapText="1"/>
    </xf>
    <xf borderId="28" fillId="0" fontId="7" numFmtId="0" xfId="0" applyAlignment="1" applyBorder="1" applyFont="1">
      <alignment shrinkToFit="0" vertical="bottom" wrapText="1"/>
    </xf>
    <xf borderId="28" fillId="0" fontId="7" numFmtId="0" xfId="0" applyAlignment="1" applyBorder="1" applyFont="1">
      <alignment shrinkToFit="0" vertical="bottom" wrapText="1"/>
    </xf>
    <xf borderId="28" fillId="0" fontId="7" numFmtId="0" xfId="0" applyAlignment="1" applyBorder="1" applyFont="1">
      <alignment vertical="bottom"/>
    </xf>
    <xf borderId="28" fillId="0" fontId="8" numFmtId="0" xfId="0" applyAlignment="1" applyBorder="1" applyFont="1">
      <alignment shrinkToFit="0" wrapText="1"/>
    </xf>
    <xf borderId="28" fillId="0" fontId="8" numFmtId="0" xfId="0" applyAlignment="1" applyBorder="1" applyFont="1">
      <alignment shrinkToFit="0" wrapText="1"/>
    </xf>
    <xf borderId="28" fillId="0" fontId="7" numFmtId="0" xfId="0" applyAlignment="1" applyBorder="1" applyFont="1">
      <alignment shrinkToFit="0" wrapText="1"/>
    </xf>
    <xf borderId="28" fillId="0" fontId="7" numFmtId="0" xfId="0" applyBorder="1" applyFont="1"/>
    <xf borderId="28" fillId="0" fontId="9" numFmtId="0" xfId="0" applyAlignment="1" applyBorder="1" applyFont="1">
      <alignment shrinkToFit="0" wrapText="1"/>
    </xf>
    <xf borderId="28" fillId="0" fontId="7" numFmtId="0" xfId="0" applyBorder="1" applyFont="1"/>
    <xf borderId="0" fillId="0" fontId="7" numFmtId="9" xfId="0" applyAlignment="1" applyFont="1" applyNumberFormat="1">
      <alignment vertical="bottom"/>
    </xf>
    <xf borderId="0" fillId="0" fontId="10" numFmtId="0" xfId="0" applyAlignment="1" applyFont="1">
      <alignment shrinkToFit="0" wrapText="1"/>
    </xf>
    <xf borderId="29" fillId="0" fontId="10" numFmtId="0" xfId="0" applyAlignment="1" applyBorder="1" applyFont="1">
      <alignment horizontal="left" readingOrder="0" shrinkToFit="0" vertical="center" wrapText="0"/>
    </xf>
    <xf borderId="62" fillId="0" fontId="2" numFmtId="0" xfId="0" applyBorder="1" applyFont="1"/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left" readingOrder="0" vertical="center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left" shrinkToFit="0" vertical="center" wrapText="1"/>
    </xf>
    <xf borderId="28" fillId="0" fontId="11" numFmtId="0" xfId="0" applyAlignment="1" applyBorder="1" applyFont="1">
      <alignment readingOrder="0" vertical="center"/>
    </xf>
    <xf borderId="28" fillId="0" fontId="10" numFmtId="0" xfId="0" applyAlignment="1" applyBorder="1" applyFont="1">
      <alignment horizontal="left" readingOrder="0" vertical="center"/>
    </xf>
    <xf borderId="28" fillId="0" fontId="10" numFmtId="0" xfId="0" applyBorder="1" applyFont="1"/>
    <xf borderId="0" fillId="0" fontId="1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24.25"/>
    <col customWidth="1" min="3" max="3" width="24.0"/>
    <col customWidth="1" min="4" max="4" width="8.63"/>
    <col customWidth="1" min="5" max="36" width="8.75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4"/>
    </row>
    <row r="3" ht="13.5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10"/>
      <c r="AJ3" s="4"/>
    </row>
    <row r="4" ht="13.5" customHeight="1">
      <c r="A4" s="11" t="s">
        <v>1</v>
      </c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1" t="s">
        <v>2</v>
      </c>
      <c r="AH4" s="14"/>
      <c r="AI4" s="12"/>
      <c r="AJ4" s="4"/>
    </row>
    <row r="5" ht="13.5" customHeight="1">
      <c r="A5" s="15" t="s">
        <v>3</v>
      </c>
      <c r="B5" s="16" t="s">
        <v>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7"/>
      <c r="AH5" s="6"/>
      <c r="AI5" s="7"/>
      <c r="AJ5" s="4"/>
    </row>
    <row r="6" ht="13.5" customHeight="1">
      <c r="A6" s="15" t="s">
        <v>5</v>
      </c>
      <c r="B6" s="18" t="s">
        <v>6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10"/>
      <c r="AJ6" s="4"/>
    </row>
    <row r="7" ht="13.5" customHeight="1">
      <c r="A7" s="19" t="s">
        <v>7</v>
      </c>
      <c r="B7" s="20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10"/>
      <c r="AJ7" s="4"/>
    </row>
    <row r="8" ht="13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10"/>
      <c r="AJ8" s="4"/>
    </row>
    <row r="9" ht="13.5" customHeight="1">
      <c r="A9" s="8"/>
      <c r="B9" s="9"/>
      <c r="C9" s="21" t="s">
        <v>8</v>
      </c>
      <c r="D9" s="21" t="s">
        <v>9</v>
      </c>
      <c r="E9" s="21" t="s">
        <v>10</v>
      </c>
      <c r="F9" s="21" t="s">
        <v>11</v>
      </c>
      <c r="G9" s="21" t="s">
        <v>12</v>
      </c>
      <c r="H9" s="22" t="s">
        <v>13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2"/>
      <c r="AE9" s="9"/>
      <c r="AF9" s="9"/>
      <c r="AG9" s="9"/>
      <c r="AH9" s="9"/>
      <c r="AI9" s="10"/>
      <c r="AJ9" s="4"/>
    </row>
    <row r="10" ht="13.5" customHeight="1">
      <c r="A10" s="8"/>
      <c r="B10" s="23"/>
      <c r="C10" s="24" t="s">
        <v>14</v>
      </c>
      <c r="D10" s="25"/>
      <c r="E10" s="26"/>
      <c r="F10" s="26"/>
      <c r="G10" s="27"/>
      <c r="H10" s="28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2"/>
      <c r="AE10" s="9"/>
      <c r="AF10" s="9"/>
      <c r="AG10" s="9"/>
      <c r="AH10" s="9"/>
      <c r="AI10" s="10"/>
      <c r="AJ10" s="4"/>
    </row>
    <row r="11" ht="13.5" customHeight="1">
      <c r="A11" s="8"/>
      <c r="B11" s="23"/>
      <c r="C11" s="24" t="s">
        <v>15</v>
      </c>
      <c r="D11" s="29"/>
      <c r="E11" s="30"/>
      <c r="F11" s="30"/>
      <c r="G11" s="31"/>
      <c r="H11" s="28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2"/>
      <c r="AE11" s="9"/>
      <c r="AF11" s="9"/>
      <c r="AG11" s="9"/>
      <c r="AH11" s="9"/>
      <c r="AI11" s="10"/>
      <c r="AJ11" s="4"/>
    </row>
    <row r="12" ht="13.5" customHeight="1">
      <c r="A12" s="8"/>
      <c r="B12" s="23"/>
      <c r="C12" s="32" t="s">
        <v>16</v>
      </c>
      <c r="D12" s="33"/>
      <c r="E12" s="34"/>
      <c r="F12" s="34"/>
      <c r="G12" s="35"/>
      <c r="H12" s="28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2"/>
      <c r="AE12" s="9"/>
      <c r="AF12" s="9"/>
      <c r="AG12" s="9"/>
      <c r="AH12" s="9"/>
      <c r="AI12" s="10"/>
      <c r="AJ12" s="4"/>
    </row>
    <row r="13" ht="13.5" customHeight="1">
      <c r="A13" s="8"/>
      <c r="B13" s="23"/>
      <c r="C13" s="32" t="s">
        <v>17</v>
      </c>
      <c r="D13" s="33"/>
      <c r="E13" s="34"/>
      <c r="F13" s="34"/>
      <c r="G13" s="35"/>
      <c r="H13" s="28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2"/>
      <c r="AE13" s="9"/>
      <c r="AF13" s="9"/>
      <c r="AG13" s="9"/>
      <c r="AH13" s="9"/>
      <c r="AI13" s="10"/>
      <c r="AJ13" s="4"/>
    </row>
    <row r="14" ht="13.5" customHeight="1">
      <c r="A14" s="8"/>
      <c r="B14" s="23"/>
      <c r="C14" s="32" t="s">
        <v>18</v>
      </c>
      <c r="D14" s="33"/>
      <c r="E14" s="34"/>
      <c r="F14" s="34"/>
      <c r="G14" s="35"/>
      <c r="H14" s="28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2"/>
      <c r="AE14" s="9"/>
      <c r="AF14" s="9"/>
      <c r="AG14" s="9"/>
      <c r="AH14" s="9"/>
      <c r="AI14" s="10"/>
      <c r="AJ14" s="4"/>
    </row>
    <row r="15" ht="13.5" customHeight="1">
      <c r="A15" s="8"/>
      <c r="B15" s="23"/>
      <c r="C15" s="32" t="s">
        <v>19</v>
      </c>
      <c r="D15" s="33"/>
      <c r="E15" s="34"/>
      <c r="F15" s="34"/>
      <c r="G15" s="35"/>
      <c r="H15" s="28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2"/>
      <c r="AE15" s="9"/>
      <c r="AF15" s="9"/>
      <c r="AG15" s="9"/>
      <c r="AH15" s="9"/>
      <c r="AI15" s="10"/>
      <c r="AJ15" s="4"/>
    </row>
    <row r="16" ht="13.5" customHeight="1">
      <c r="A16" s="8"/>
      <c r="B16" s="23"/>
      <c r="C16" s="32" t="s">
        <v>20</v>
      </c>
      <c r="D16" s="33"/>
      <c r="E16" s="34"/>
      <c r="F16" s="36"/>
      <c r="G16" s="35"/>
      <c r="H16" s="28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2"/>
      <c r="AE16" s="9"/>
      <c r="AF16" s="9"/>
      <c r="AG16" s="9"/>
      <c r="AH16" s="9"/>
      <c r="AI16" s="10"/>
      <c r="AJ16" s="4"/>
    </row>
    <row r="17" ht="13.5" customHeight="1">
      <c r="A17" s="8"/>
      <c r="B17" s="9"/>
      <c r="C17" s="37" t="s">
        <v>21</v>
      </c>
      <c r="D17" s="38"/>
      <c r="E17" s="39"/>
      <c r="F17" s="39"/>
      <c r="G17" s="40"/>
      <c r="H17" s="28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2"/>
      <c r="AE17" s="9"/>
      <c r="AF17" s="9"/>
      <c r="AG17" s="9"/>
      <c r="AH17" s="9"/>
      <c r="AI17" s="10"/>
      <c r="AJ17" s="4"/>
    </row>
    <row r="18" ht="13.5" customHeight="1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10"/>
      <c r="AJ18" s="4"/>
    </row>
    <row r="19" ht="13.5" customHeight="1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10"/>
      <c r="AJ19" s="4"/>
    </row>
    <row r="20" ht="13.5" customHeight="1">
      <c r="A20" s="8"/>
      <c r="B20" s="9"/>
      <c r="C20" s="41" t="s">
        <v>22</v>
      </c>
      <c r="D20" s="42">
        <v>1.0</v>
      </c>
      <c r="E20" s="42">
        <v>2.0</v>
      </c>
      <c r="F20" s="42">
        <v>3.0</v>
      </c>
      <c r="G20" s="42">
        <v>4.0</v>
      </c>
      <c r="H20" s="42">
        <v>5.0</v>
      </c>
      <c r="I20" s="42">
        <v>6.0</v>
      </c>
      <c r="J20" s="42">
        <v>7.0</v>
      </c>
      <c r="K20" s="42">
        <v>8.0</v>
      </c>
      <c r="L20" s="42">
        <v>9.0</v>
      </c>
      <c r="M20" s="42">
        <v>10.0</v>
      </c>
      <c r="N20" s="42">
        <v>11.0</v>
      </c>
      <c r="O20" s="42">
        <v>12.0</v>
      </c>
      <c r="P20" s="42">
        <v>13.0</v>
      </c>
      <c r="Q20" s="42">
        <v>14.0</v>
      </c>
      <c r="R20" s="42">
        <v>15.0</v>
      </c>
      <c r="S20" s="42">
        <v>16.0</v>
      </c>
      <c r="T20" s="42">
        <v>17.0</v>
      </c>
      <c r="U20" s="42">
        <v>18.0</v>
      </c>
      <c r="V20" s="42">
        <v>19.0</v>
      </c>
      <c r="W20" s="42">
        <v>20.0</v>
      </c>
      <c r="X20" s="42">
        <v>21.0</v>
      </c>
      <c r="Y20" s="42">
        <v>22.0</v>
      </c>
      <c r="Z20" s="42">
        <v>23.0</v>
      </c>
      <c r="AA20" s="42">
        <v>24.0</v>
      </c>
      <c r="AB20" s="42">
        <v>25.0</v>
      </c>
      <c r="AC20" s="42">
        <v>26.0</v>
      </c>
      <c r="AD20" s="42">
        <v>27.0</v>
      </c>
      <c r="AE20" s="42">
        <v>28.0</v>
      </c>
      <c r="AF20" s="42">
        <v>29.0</v>
      </c>
      <c r="AG20" s="42">
        <v>30.0</v>
      </c>
      <c r="AH20" s="9"/>
      <c r="AI20" s="10"/>
      <c r="AJ20" s="4"/>
    </row>
    <row r="21" ht="13.5" customHeight="1">
      <c r="A21" s="8"/>
      <c r="B21" s="9"/>
      <c r="C21" s="43" t="s">
        <v>23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5"/>
      <c r="AH21" s="46"/>
      <c r="AI21" s="10"/>
      <c r="AJ21" s="4"/>
    </row>
    <row r="22" ht="13.5" customHeight="1">
      <c r="A22" s="8"/>
      <c r="B22" s="9"/>
      <c r="C22" s="47" t="s">
        <v>24</v>
      </c>
      <c r="D22" s="42">
        <v>1.0</v>
      </c>
      <c r="E22" s="42">
        <v>2.0</v>
      </c>
      <c r="F22" s="42">
        <v>3.0</v>
      </c>
      <c r="G22" s="42">
        <v>4.0</v>
      </c>
      <c r="H22" s="42">
        <v>5.0</v>
      </c>
      <c r="I22" s="42">
        <v>6.0</v>
      </c>
      <c r="J22" s="42">
        <v>7.0</v>
      </c>
      <c r="K22" s="42">
        <v>8.0</v>
      </c>
      <c r="L22" s="42">
        <v>9.0</v>
      </c>
      <c r="M22" s="42">
        <v>10.0</v>
      </c>
      <c r="N22" s="42">
        <v>11.0</v>
      </c>
      <c r="O22" s="42">
        <v>12.0</v>
      </c>
      <c r="P22" s="42">
        <v>13.0</v>
      </c>
      <c r="Q22" s="42">
        <v>14.0</v>
      </c>
      <c r="R22" s="42">
        <v>15.0</v>
      </c>
      <c r="S22" s="42">
        <v>16.0</v>
      </c>
      <c r="T22" s="42">
        <v>17.0</v>
      </c>
      <c r="U22" s="42">
        <v>18.0</v>
      </c>
      <c r="V22" s="42">
        <v>19.0</v>
      </c>
      <c r="W22" s="42">
        <v>20.0</v>
      </c>
      <c r="X22" s="42">
        <v>21.0</v>
      </c>
      <c r="Y22" s="42">
        <v>22.0</v>
      </c>
      <c r="Z22" s="42">
        <v>23.0</v>
      </c>
      <c r="AA22" s="42">
        <v>24.0</v>
      </c>
      <c r="AB22" s="42">
        <v>25.0</v>
      </c>
      <c r="AC22" s="42">
        <v>26.0</v>
      </c>
      <c r="AD22" s="42">
        <v>27.0</v>
      </c>
      <c r="AE22" s="42">
        <v>28.0</v>
      </c>
      <c r="AF22" s="42">
        <v>29.0</v>
      </c>
      <c r="AG22" s="42">
        <v>30.0</v>
      </c>
      <c r="AH22" s="9"/>
      <c r="AI22" s="10"/>
      <c r="AJ22" s="4"/>
    </row>
    <row r="23" ht="13.5" customHeight="1">
      <c r="A23" s="8"/>
      <c r="B23" s="9"/>
      <c r="C23" s="48" t="s">
        <v>23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50"/>
      <c r="AH23" s="46"/>
      <c r="AI23" s="10"/>
      <c r="AJ23" s="4"/>
    </row>
    <row r="24" ht="13.5" customHeight="1">
      <c r="A24" s="8"/>
      <c r="B24" s="9"/>
      <c r="C24" s="41" t="s">
        <v>25</v>
      </c>
      <c r="D24" s="42">
        <v>1.0</v>
      </c>
      <c r="E24" s="42">
        <v>2.0</v>
      </c>
      <c r="F24" s="42">
        <v>3.0</v>
      </c>
      <c r="G24" s="42">
        <v>4.0</v>
      </c>
      <c r="H24" s="42">
        <v>5.0</v>
      </c>
      <c r="I24" s="42">
        <v>6.0</v>
      </c>
      <c r="J24" s="42">
        <v>7.0</v>
      </c>
      <c r="K24" s="42">
        <v>8.0</v>
      </c>
      <c r="L24" s="42">
        <v>9.0</v>
      </c>
      <c r="M24" s="42">
        <v>10.0</v>
      </c>
      <c r="N24" s="42">
        <v>11.0</v>
      </c>
      <c r="O24" s="42">
        <v>12.0</v>
      </c>
      <c r="P24" s="42">
        <v>13.0</v>
      </c>
      <c r="Q24" s="42">
        <v>14.0</v>
      </c>
      <c r="R24" s="42">
        <v>15.0</v>
      </c>
      <c r="S24" s="42">
        <v>16.0</v>
      </c>
      <c r="T24" s="42">
        <v>17.0</v>
      </c>
      <c r="U24" s="42">
        <v>18.0</v>
      </c>
      <c r="V24" s="42">
        <v>19.0</v>
      </c>
      <c r="W24" s="42">
        <v>20.0</v>
      </c>
      <c r="X24" s="42">
        <v>21.0</v>
      </c>
      <c r="Y24" s="42">
        <v>22.0</v>
      </c>
      <c r="Z24" s="42">
        <v>23.0</v>
      </c>
      <c r="AA24" s="42">
        <v>24.0</v>
      </c>
      <c r="AB24" s="42">
        <v>25.0</v>
      </c>
      <c r="AC24" s="42">
        <v>26.0</v>
      </c>
      <c r="AD24" s="42">
        <v>27.0</v>
      </c>
      <c r="AE24" s="42">
        <v>28.0</v>
      </c>
      <c r="AF24" s="42">
        <v>29.0</v>
      </c>
      <c r="AG24" s="42">
        <v>30.0</v>
      </c>
      <c r="AH24" s="9"/>
      <c r="AI24" s="10"/>
      <c r="AJ24" s="4"/>
    </row>
    <row r="25" ht="13.5" customHeight="1">
      <c r="A25" s="8"/>
      <c r="B25" s="9"/>
      <c r="C25" s="48" t="s">
        <v>23</v>
      </c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50"/>
      <c r="AH25" s="9"/>
      <c r="AI25" s="10"/>
      <c r="AJ25" s="4"/>
    </row>
    <row r="26" ht="13.5" customHeight="1">
      <c r="A26" s="8"/>
      <c r="B26" s="9"/>
      <c r="C26" s="51"/>
      <c r="D26" s="52" t="s">
        <v>26</v>
      </c>
      <c r="E26" s="52" t="s">
        <v>27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10"/>
      <c r="AJ26" s="4"/>
    </row>
    <row r="27" ht="13.5" customHeight="1">
      <c r="A27" s="8"/>
      <c r="B27" s="4"/>
      <c r="C27" s="53" t="s">
        <v>26</v>
      </c>
      <c r="D27" s="54"/>
      <c r="E27" s="55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10"/>
      <c r="AJ27" s="4"/>
    </row>
    <row r="28" ht="13.5" customHeight="1">
      <c r="A28" s="8"/>
      <c r="B28" s="9"/>
      <c r="C28" s="53" t="s">
        <v>28</v>
      </c>
      <c r="D28" s="56"/>
      <c r="E28" s="57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10"/>
      <c r="AJ28" s="4"/>
    </row>
    <row r="29" ht="13.5" customHeight="1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10"/>
      <c r="AJ29" s="4"/>
    </row>
    <row r="30" ht="13.5" customHeight="1">
      <c r="A30" s="8"/>
      <c r="B30" s="9"/>
      <c r="C30" s="9"/>
      <c r="D30" s="9"/>
      <c r="E30" s="9"/>
      <c r="F30" s="9"/>
      <c r="G30" s="58" t="s">
        <v>29</v>
      </c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60"/>
      <c r="AH30" s="9"/>
      <c r="AI30" s="10"/>
      <c r="AJ30" s="4"/>
    </row>
    <row r="31" ht="13.5" customHeight="1">
      <c r="A31" s="8"/>
      <c r="B31" s="9"/>
      <c r="C31" s="9"/>
      <c r="D31" s="9"/>
      <c r="E31" s="9"/>
      <c r="F31" s="9"/>
      <c r="G31" s="61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3"/>
      <c r="AH31" s="9"/>
      <c r="AI31" s="10"/>
      <c r="AJ31" s="4"/>
    </row>
    <row r="32" ht="13.5" customHeight="1">
      <c r="A32" s="8"/>
      <c r="B32" s="9"/>
      <c r="C32" s="9"/>
      <c r="D32" s="9"/>
      <c r="E32" s="9"/>
      <c r="F32" s="9"/>
      <c r="G32" s="61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3"/>
      <c r="AH32" s="9"/>
      <c r="AI32" s="10"/>
      <c r="AJ32" s="4"/>
    </row>
    <row r="33" ht="13.5" customHeight="1">
      <c r="A33" s="8"/>
      <c r="B33" s="9"/>
      <c r="C33" s="9"/>
      <c r="D33" s="9"/>
      <c r="E33" s="9"/>
      <c r="F33" s="9"/>
      <c r="G33" s="61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3"/>
      <c r="AH33" s="9"/>
      <c r="AI33" s="10"/>
      <c r="AJ33" s="4"/>
    </row>
    <row r="34" ht="13.5" customHeight="1">
      <c r="A34" s="8"/>
      <c r="B34" s="9"/>
      <c r="C34" s="9"/>
      <c r="D34" s="9"/>
      <c r="E34" s="9"/>
      <c r="F34" s="9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6"/>
      <c r="AH34" s="9"/>
      <c r="AI34" s="10"/>
      <c r="AJ34" s="4"/>
    </row>
    <row r="35" ht="13.5" customHeight="1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10"/>
      <c r="AJ35" s="4"/>
    </row>
    <row r="36" ht="13.5" customHeight="1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10"/>
      <c r="AJ36" s="4"/>
    </row>
    <row r="37" ht="13.5" customHeight="1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10"/>
      <c r="AJ37" s="4"/>
    </row>
    <row r="38" ht="13.5" customHeight="1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10"/>
      <c r="AJ38" s="4"/>
    </row>
    <row r="39" ht="13.5" customHeight="1">
      <c r="A39" s="8"/>
      <c r="B39" s="9"/>
      <c r="C39" s="9"/>
      <c r="D39" s="9"/>
      <c r="E39" s="9"/>
      <c r="F39" s="9"/>
      <c r="G39" s="67" t="s">
        <v>30</v>
      </c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2"/>
      <c r="AH39" s="9"/>
      <c r="AI39" s="10"/>
      <c r="AJ39" s="4"/>
    </row>
    <row r="40" ht="13.5" customHeight="1">
      <c r="A40" s="8"/>
      <c r="B40" s="9"/>
      <c r="C40" s="9"/>
      <c r="D40" s="9"/>
      <c r="E40" s="9"/>
      <c r="F40" s="9"/>
      <c r="G40" s="68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70"/>
      <c r="AH40" s="9"/>
      <c r="AI40" s="10"/>
      <c r="AJ40" s="4"/>
    </row>
    <row r="41" ht="13.5" customHeight="1">
      <c r="A41" s="8"/>
      <c r="B41" s="9"/>
      <c r="C41" s="9"/>
      <c r="D41" s="9"/>
      <c r="E41" s="9"/>
      <c r="F41" s="9"/>
      <c r="G41" s="61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3"/>
      <c r="AH41" s="9"/>
      <c r="AI41" s="10"/>
      <c r="AJ41" s="4"/>
    </row>
    <row r="42" ht="13.5" customHeight="1">
      <c r="A42" s="8"/>
      <c r="B42" s="9"/>
      <c r="C42" s="9"/>
      <c r="D42" s="9"/>
      <c r="E42" s="9"/>
      <c r="F42" s="9"/>
      <c r="G42" s="61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3"/>
      <c r="AH42" s="9"/>
      <c r="AI42" s="10"/>
      <c r="AJ42" s="4"/>
    </row>
    <row r="43" ht="13.5" customHeight="1">
      <c r="A43" s="8"/>
      <c r="B43" s="9"/>
      <c r="C43" s="9"/>
      <c r="D43" s="9"/>
      <c r="E43" s="9"/>
      <c r="F43" s="9"/>
      <c r="G43" s="64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6"/>
      <c r="AH43" s="9"/>
      <c r="AI43" s="10"/>
      <c r="AJ43" s="4"/>
    </row>
    <row r="44" ht="13.5" customHeight="1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10"/>
      <c r="AJ44" s="4"/>
    </row>
    <row r="45" ht="13.5" customHeight="1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10"/>
      <c r="AJ45" s="4"/>
    </row>
    <row r="46" ht="13.5" customHeight="1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10"/>
      <c r="AJ46" s="4"/>
    </row>
    <row r="47" ht="13.5" customHeight="1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10"/>
      <c r="AJ47" s="4"/>
    </row>
    <row r="48" ht="13.5" customHeight="1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10"/>
      <c r="AJ48" s="4"/>
    </row>
    <row r="49" ht="13.5" customHeight="1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10"/>
      <c r="AJ49" s="4"/>
    </row>
    <row r="50" ht="13.5" customHeigh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71" t="s">
        <v>31</v>
      </c>
      <c r="T50" s="12"/>
      <c r="U50" s="72">
        <f>SUM(D84:D87)</f>
        <v>0</v>
      </c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10"/>
      <c r="AJ50" s="4"/>
    </row>
    <row r="51" ht="13.5" customHeight="1">
      <c r="A51" s="73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5"/>
      <c r="AJ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3.5" customHeight="1">
      <c r="A66" s="4"/>
      <c r="B66" s="4"/>
      <c r="C66" s="76" t="s">
        <v>32</v>
      </c>
      <c r="D66" s="60"/>
      <c r="E66" s="77" t="s">
        <v>33</v>
      </c>
      <c r="F66" s="14"/>
      <c r="G66" s="1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3.5" customHeight="1">
      <c r="A67" s="4"/>
      <c r="B67" s="4"/>
      <c r="C67" s="33"/>
      <c r="D67" s="78"/>
      <c r="E67" s="77" t="s">
        <v>34</v>
      </c>
      <c r="F67" s="14"/>
      <c r="G67" s="1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3.5" customHeight="1">
      <c r="A68" s="4"/>
      <c r="B68" s="4"/>
      <c r="C68" s="33" t="s">
        <v>12</v>
      </c>
      <c r="D68" s="79">
        <v>2.5</v>
      </c>
      <c r="E68" s="77" t="s">
        <v>35</v>
      </c>
      <c r="F68" s="14"/>
      <c r="G68" s="1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3.5" customHeight="1">
      <c r="A69" s="4"/>
      <c r="B69" s="4"/>
      <c r="C69" s="33" t="s">
        <v>11</v>
      </c>
      <c r="D69" s="79">
        <v>5.0</v>
      </c>
      <c r="E69" s="77" t="s">
        <v>34</v>
      </c>
      <c r="F69" s="14"/>
      <c r="G69" s="1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3.5" customHeight="1">
      <c r="A70" s="4"/>
      <c r="B70" s="4"/>
      <c r="C70" s="33" t="s">
        <v>36</v>
      </c>
      <c r="D70" s="79">
        <v>7.5</v>
      </c>
      <c r="E70" s="80" t="s">
        <v>37</v>
      </c>
      <c r="F70" s="14"/>
      <c r="G70" s="1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3.5" customHeight="1">
      <c r="A71" s="4"/>
      <c r="B71" s="4"/>
      <c r="C71" s="38" t="s">
        <v>9</v>
      </c>
      <c r="D71" s="81">
        <v>10.0</v>
      </c>
      <c r="E71" s="82" t="s">
        <v>38</v>
      </c>
      <c r="F71" s="83"/>
      <c r="G71" s="8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3.5" customHeight="1">
      <c r="A74" s="4"/>
      <c r="B74" s="4"/>
      <c r="C74" s="21" t="s">
        <v>8</v>
      </c>
      <c r="D74" s="21" t="s">
        <v>9</v>
      </c>
      <c r="E74" s="21" t="s">
        <v>10</v>
      </c>
      <c r="F74" s="21" t="s">
        <v>11</v>
      </c>
      <c r="G74" s="21" t="s">
        <v>12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3.5" customHeight="1">
      <c r="A75" s="4"/>
      <c r="B75" s="4"/>
      <c r="C75" s="24" t="s">
        <v>14</v>
      </c>
      <c r="D75" s="85">
        <f t="shared" ref="D75:D82" si="1">IF(D10="X",10,0)</f>
        <v>0</v>
      </c>
      <c r="E75" s="85">
        <f t="shared" ref="E75:E82" si="2">IF(E10="X",7.5,0)</f>
        <v>0</v>
      </c>
      <c r="F75" s="85">
        <f t="shared" ref="F75:F82" si="3">IF(F10="X",5,0)</f>
        <v>0</v>
      </c>
      <c r="G75" s="86">
        <f t="shared" ref="G75:G82" si="4">IF(G10="X",2.5,0)</f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3.5" customHeight="1">
      <c r="A76" s="4"/>
      <c r="B76" s="4"/>
      <c r="C76" s="24" t="s">
        <v>15</v>
      </c>
      <c r="D76" s="85">
        <f t="shared" si="1"/>
        <v>0</v>
      </c>
      <c r="E76" s="85">
        <f t="shared" si="2"/>
        <v>0</v>
      </c>
      <c r="F76" s="85">
        <f t="shared" si="3"/>
        <v>0</v>
      </c>
      <c r="G76" s="86">
        <f t="shared" si="4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3.5" customHeight="1">
      <c r="A77" s="4"/>
      <c r="B77" s="4"/>
      <c r="C77" s="32" t="s">
        <v>16</v>
      </c>
      <c r="D77" s="85">
        <f t="shared" si="1"/>
        <v>0</v>
      </c>
      <c r="E77" s="85">
        <f t="shared" si="2"/>
        <v>0</v>
      </c>
      <c r="F77" s="85">
        <f t="shared" si="3"/>
        <v>0</v>
      </c>
      <c r="G77" s="86">
        <f t="shared" si="4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3.5" customHeight="1">
      <c r="A78" s="4"/>
      <c r="B78" s="4"/>
      <c r="C78" s="32" t="s">
        <v>17</v>
      </c>
      <c r="D78" s="85">
        <f t="shared" si="1"/>
        <v>0</v>
      </c>
      <c r="E78" s="85">
        <f t="shared" si="2"/>
        <v>0</v>
      </c>
      <c r="F78" s="85">
        <f t="shared" si="3"/>
        <v>0</v>
      </c>
      <c r="G78" s="86">
        <f t="shared" si="4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3.5" customHeight="1">
      <c r="A79" s="4"/>
      <c r="B79" s="4"/>
      <c r="C79" s="32" t="s">
        <v>39</v>
      </c>
      <c r="D79" s="85">
        <f t="shared" si="1"/>
        <v>0</v>
      </c>
      <c r="E79" s="85">
        <f t="shared" si="2"/>
        <v>0</v>
      </c>
      <c r="F79" s="85">
        <f t="shared" si="3"/>
        <v>0</v>
      </c>
      <c r="G79" s="86">
        <f t="shared" si="4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3.5" customHeight="1">
      <c r="A80" s="4"/>
      <c r="B80" s="4"/>
      <c r="C80" s="32" t="s">
        <v>19</v>
      </c>
      <c r="D80" s="85">
        <f t="shared" si="1"/>
        <v>0</v>
      </c>
      <c r="E80" s="85">
        <f t="shared" si="2"/>
        <v>0</v>
      </c>
      <c r="F80" s="85">
        <f t="shared" si="3"/>
        <v>0</v>
      </c>
      <c r="G80" s="86">
        <f t="shared" si="4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3.5" customHeight="1">
      <c r="A81" s="4"/>
      <c r="B81" s="4"/>
      <c r="C81" s="32" t="s">
        <v>20</v>
      </c>
      <c r="D81" s="85">
        <f t="shared" si="1"/>
        <v>0</v>
      </c>
      <c r="E81" s="85">
        <f t="shared" si="2"/>
        <v>0</v>
      </c>
      <c r="F81" s="85">
        <f t="shared" si="3"/>
        <v>0</v>
      </c>
      <c r="G81" s="86">
        <f t="shared" si="4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3.5" customHeight="1">
      <c r="A82" s="4"/>
      <c r="B82" s="4"/>
      <c r="C82" s="37" t="s">
        <v>21</v>
      </c>
      <c r="D82" s="87">
        <f t="shared" si="1"/>
        <v>0</v>
      </c>
      <c r="E82" s="87">
        <f t="shared" si="2"/>
        <v>0</v>
      </c>
      <c r="F82" s="87">
        <f t="shared" si="3"/>
        <v>0</v>
      </c>
      <c r="G82" s="88">
        <f t="shared" si="4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3.5" customHeight="1">
      <c r="A84" s="4"/>
      <c r="B84" s="4"/>
      <c r="C84" s="89" t="s">
        <v>40</v>
      </c>
      <c r="D84" s="90">
        <f t="array" ref="D84">SUM(((D75:G82/80)*50))</f>
        <v>0</v>
      </c>
      <c r="E84" s="4"/>
      <c r="F84" s="41" t="s">
        <v>41</v>
      </c>
      <c r="G84" s="47">
        <v>1.0</v>
      </c>
      <c r="H84" s="47">
        <v>2.0</v>
      </c>
      <c r="I84" s="47">
        <v>3.0</v>
      </c>
      <c r="J84" s="47">
        <v>4.0</v>
      </c>
      <c r="K84" s="47">
        <v>5.0</v>
      </c>
      <c r="L84" s="47">
        <v>6.0</v>
      </c>
      <c r="M84" s="47">
        <v>7.0</v>
      </c>
      <c r="N84" s="47">
        <v>8.0</v>
      </c>
      <c r="O84" s="47">
        <v>9.0</v>
      </c>
      <c r="P84" s="47">
        <v>10.0</v>
      </c>
      <c r="Q84" s="47">
        <v>11.0</v>
      </c>
      <c r="R84" s="47">
        <v>12.0</v>
      </c>
      <c r="S84" s="47">
        <v>13.0</v>
      </c>
      <c r="T84" s="47">
        <v>14.0</v>
      </c>
      <c r="U84" s="47">
        <v>15.0</v>
      </c>
      <c r="V84" s="47">
        <v>16.0</v>
      </c>
      <c r="W84" s="47">
        <v>17.0</v>
      </c>
      <c r="X84" s="47">
        <v>18.0</v>
      </c>
      <c r="Y84" s="47">
        <v>19.0</v>
      </c>
      <c r="Z84" s="47">
        <v>20.0</v>
      </c>
      <c r="AA84" s="47">
        <v>21.0</v>
      </c>
      <c r="AB84" s="47">
        <v>22.0</v>
      </c>
      <c r="AC84" s="47">
        <v>23.0</v>
      </c>
      <c r="AD84" s="91">
        <v>24.0</v>
      </c>
      <c r="AE84" s="47">
        <v>25.0</v>
      </c>
      <c r="AF84" s="47">
        <v>26.0</v>
      </c>
      <c r="AG84" s="47">
        <v>27.0</v>
      </c>
      <c r="AH84" s="47">
        <v>28.0</v>
      </c>
      <c r="AI84" s="47">
        <v>29.0</v>
      </c>
      <c r="AJ84" s="47">
        <v>30.0</v>
      </c>
    </row>
    <row r="85" ht="13.5" customHeight="1">
      <c r="A85" s="4"/>
      <c r="B85" s="4"/>
      <c r="C85" s="92" t="s">
        <v>42</v>
      </c>
      <c r="D85" s="93">
        <f t="array" ref="D85">SUM(((((G85:AJ85))+((G89:AJ89))+(G87:AJ87)))/90)*35</f>
        <v>0</v>
      </c>
      <c r="E85" s="4"/>
      <c r="F85" s="43"/>
      <c r="G85" s="94">
        <f t="shared" ref="G85:AJ85" si="5">IF(D21&gt;=30,1,0)</f>
        <v>0</v>
      </c>
      <c r="H85" s="94">
        <f t="shared" si="5"/>
        <v>0</v>
      </c>
      <c r="I85" s="94">
        <f t="shared" si="5"/>
        <v>0</v>
      </c>
      <c r="J85" s="94">
        <f t="shared" si="5"/>
        <v>0</v>
      </c>
      <c r="K85" s="94">
        <f t="shared" si="5"/>
        <v>0</v>
      </c>
      <c r="L85" s="94">
        <f t="shared" si="5"/>
        <v>0</v>
      </c>
      <c r="M85" s="94">
        <f t="shared" si="5"/>
        <v>0</v>
      </c>
      <c r="N85" s="94">
        <f t="shared" si="5"/>
        <v>0</v>
      </c>
      <c r="O85" s="94">
        <f t="shared" si="5"/>
        <v>0</v>
      </c>
      <c r="P85" s="94">
        <f t="shared" si="5"/>
        <v>0</v>
      </c>
      <c r="Q85" s="94">
        <f t="shared" si="5"/>
        <v>0</v>
      </c>
      <c r="R85" s="94">
        <f t="shared" si="5"/>
        <v>0</v>
      </c>
      <c r="S85" s="94">
        <f t="shared" si="5"/>
        <v>0</v>
      </c>
      <c r="T85" s="94">
        <f t="shared" si="5"/>
        <v>0</v>
      </c>
      <c r="U85" s="94">
        <f t="shared" si="5"/>
        <v>0</v>
      </c>
      <c r="V85" s="94">
        <f t="shared" si="5"/>
        <v>0</v>
      </c>
      <c r="W85" s="94">
        <f t="shared" si="5"/>
        <v>0</v>
      </c>
      <c r="X85" s="94">
        <f t="shared" si="5"/>
        <v>0</v>
      </c>
      <c r="Y85" s="94">
        <f t="shared" si="5"/>
        <v>0</v>
      </c>
      <c r="Z85" s="94">
        <f t="shared" si="5"/>
        <v>0</v>
      </c>
      <c r="AA85" s="94">
        <f t="shared" si="5"/>
        <v>0</v>
      </c>
      <c r="AB85" s="94">
        <f t="shared" si="5"/>
        <v>0</v>
      </c>
      <c r="AC85" s="94">
        <f t="shared" si="5"/>
        <v>0</v>
      </c>
      <c r="AD85" s="94">
        <f t="shared" si="5"/>
        <v>0</v>
      </c>
      <c r="AE85" s="94">
        <f t="shared" si="5"/>
        <v>0</v>
      </c>
      <c r="AF85" s="94">
        <f t="shared" si="5"/>
        <v>0</v>
      </c>
      <c r="AG85" s="94">
        <f t="shared" si="5"/>
        <v>0</v>
      </c>
      <c r="AH85" s="94">
        <f t="shared" si="5"/>
        <v>0</v>
      </c>
      <c r="AI85" s="94">
        <f t="shared" si="5"/>
        <v>0</v>
      </c>
      <c r="AJ85" s="94">
        <f t="shared" si="5"/>
        <v>0</v>
      </c>
    </row>
    <row r="86" ht="13.5" customHeight="1">
      <c r="A86" s="4"/>
      <c r="B86" s="4"/>
      <c r="C86" s="92" t="s">
        <v>15</v>
      </c>
      <c r="D86" s="93">
        <f>SUM((E28/100)*15)</f>
        <v>0</v>
      </c>
      <c r="E86" s="4"/>
      <c r="F86" s="47" t="s">
        <v>43</v>
      </c>
      <c r="G86" s="47">
        <v>1.0</v>
      </c>
      <c r="H86" s="47">
        <v>2.0</v>
      </c>
      <c r="I86" s="47">
        <v>3.0</v>
      </c>
      <c r="J86" s="47">
        <v>4.0</v>
      </c>
      <c r="K86" s="47">
        <v>5.0</v>
      </c>
      <c r="L86" s="47">
        <v>6.0</v>
      </c>
      <c r="M86" s="47">
        <v>7.0</v>
      </c>
      <c r="N86" s="47">
        <v>8.0</v>
      </c>
      <c r="O86" s="47">
        <v>9.0</v>
      </c>
      <c r="P86" s="47">
        <v>10.0</v>
      </c>
      <c r="Q86" s="47">
        <v>11.0</v>
      </c>
      <c r="R86" s="47">
        <v>12.0</v>
      </c>
      <c r="S86" s="47">
        <v>13.0</v>
      </c>
      <c r="T86" s="47">
        <v>14.0</v>
      </c>
      <c r="U86" s="47">
        <v>15.0</v>
      </c>
      <c r="V86" s="47">
        <v>16.0</v>
      </c>
      <c r="W86" s="47">
        <v>17.0</v>
      </c>
      <c r="X86" s="47">
        <v>18.0</v>
      </c>
      <c r="Y86" s="47">
        <v>19.0</v>
      </c>
      <c r="Z86" s="47">
        <v>20.0</v>
      </c>
      <c r="AA86" s="47">
        <v>21.0</v>
      </c>
      <c r="AB86" s="47">
        <v>22.0</v>
      </c>
      <c r="AC86" s="47">
        <v>23.0</v>
      </c>
      <c r="AD86" s="47">
        <v>24.0</v>
      </c>
      <c r="AE86" s="47">
        <v>25.0</v>
      </c>
      <c r="AF86" s="47">
        <v>26.0</v>
      </c>
      <c r="AG86" s="47">
        <v>27.0</v>
      </c>
      <c r="AH86" s="47">
        <v>28.0</v>
      </c>
      <c r="AI86" s="47">
        <v>29.0</v>
      </c>
      <c r="AJ86" s="47">
        <v>30.0</v>
      </c>
    </row>
    <row r="87" ht="13.5" customHeight="1">
      <c r="A87" s="4"/>
      <c r="B87" s="4"/>
      <c r="C87" s="95"/>
      <c r="D87" s="96"/>
      <c r="E87" s="4"/>
      <c r="F87" s="48"/>
      <c r="G87" s="97">
        <f t="shared" ref="G87:AJ87" si="6">IF(D23&gt;=30,1,0)</f>
        <v>0</v>
      </c>
      <c r="H87" s="97">
        <f t="shared" si="6"/>
        <v>0</v>
      </c>
      <c r="I87" s="97">
        <f t="shared" si="6"/>
        <v>0</v>
      </c>
      <c r="J87" s="97">
        <f t="shared" si="6"/>
        <v>0</v>
      </c>
      <c r="K87" s="97">
        <f t="shared" si="6"/>
        <v>0</v>
      </c>
      <c r="L87" s="97">
        <f t="shared" si="6"/>
        <v>0</v>
      </c>
      <c r="M87" s="97">
        <f t="shared" si="6"/>
        <v>0</v>
      </c>
      <c r="N87" s="97">
        <f t="shared" si="6"/>
        <v>0</v>
      </c>
      <c r="O87" s="97">
        <f t="shared" si="6"/>
        <v>0</v>
      </c>
      <c r="P87" s="97">
        <f t="shared" si="6"/>
        <v>0</v>
      </c>
      <c r="Q87" s="97">
        <f t="shared" si="6"/>
        <v>0</v>
      </c>
      <c r="R87" s="97">
        <f t="shared" si="6"/>
        <v>0</v>
      </c>
      <c r="S87" s="97">
        <f t="shared" si="6"/>
        <v>0</v>
      </c>
      <c r="T87" s="97">
        <f t="shared" si="6"/>
        <v>0</v>
      </c>
      <c r="U87" s="97">
        <f t="shared" si="6"/>
        <v>0</v>
      </c>
      <c r="V87" s="97">
        <f t="shared" si="6"/>
        <v>0</v>
      </c>
      <c r="W87" s="97">
        <f t="shared" si="6"/>
        <v>0</v>
      </c>
      <c r="X87" s="97">
        <f t="shared" si="6"/>
        <v>0</v>
      </c>
      <c r="Y87" s="97">
        <f t="shared" si="6"/>
        <v>0</v>
      </c>
      <c r="Z87" s="97">
        <f t="shared" si="6"/>
        <v>0</v>
      </c>
      <c r="AA87" s="97">
        <f t="shared" si="6"/>
        <v>0</v>
      </c>
      <c r="AB87" s="97">
        <f t="shared" si="6"/>
        <v>0</v>
      </c>
      <c r="AC87" s="97">
        <f t="shared" si="6"/>
        <v>0</v>
      </c>
      <c r="AD87" s="97">
        <f t="shared" si="6"/>
        <v>0</v>
      </c>
      <c r="AE87" s="97">
        <f t="shared" si="6"/>
        <v>0</v>
      </c>
      <c r="AF87" s="97">
        <f t="shared" si="6"/>
        <v>0</v>
      </c>
      <c r="AG87" s="97">
        <f t="shared" si="6"/>
        <v>0</v>
      </c>
      <c r="AH87" s="97">
        <f t="shared" si="6"/>
        <v>0</v>
      </c>
      <c r="AI87" s="97">
        <f t="shared" si="6"/>
        <v>0</v>
      </c>
      <c r="AJ87" s="97">
        <f t="shared" si="6"/>
        <v>0</v>
      </c>
    </row>
    <row r="88" ht="13.5" customHeight="1">
      <c r="A88" s="4"/>
      <c r="B88" s="4"/>
      <c r="C88" s="4"/>
      <c r="D88" s="4"/>
      <c r="E88" s="4"/>
      <c r="F88" s="41" t="s">
        <v>41</v>
      </c>
      <c r="G88" s="47">
        <v>1.0</v>
      </c>
      <c r="H88" s="47">
        <v>2.0</v>
      </c>
      <c r="I88" s="47">
        <v>3.0</v>
      </c>
      <c r="J88" s="47">
        <v>4.0</v>
      </c>
      <c r="K88" s="47">
        <v>5.0</v>
      </c>
      <c r="L88" s="47">
        <v>6.0</v>
      </c>
      <c r="M88" s="47">
        <v>7.0</v>
      </c>
      <c r="N88" s="47">
        <v>8.0</v>
      </c>
      <c r="O88" s="47">
        <v>9.0</v>
      </c>
      <c r="P88" s="47">
        <v>10.0</v>
      </c>
      <c r="Q88" s="47">
        <v>11.0</v>
      </c>
      <c r="R88" s="47">
        <v>12.0</v>
      </c>
      <c r="S88" s="47">
        <v>13.0</v>
      </c>
      <c r="T88" s="47">
        <v>14.0</v>
      </c>
      <c r="U88" s="47">
        <v>15.0</v>
      </c>
      <c r="V88" s="47">
        <v>16.0</v>
      </c>
      <c r="W88" s="47">
        <v>17.0</v>
      </c>
      <c r="X88" s="47">
        <v>18.0</v>
      </c>
      <c r="Y88" s="47">
        <v>19.0</v>
      </c>
      <c r="Z88" s="47">
        <v>20.0</v>
      </c>
      <c r="AA88" s="47">
        <v>21.0</v>
      </c>
      <c r="AB88" s="47">
        <v>22.0</v>
      </c>
      <c r="AC88" s="47">
        <v>23.0</v>
      </c>
      <c r="AD88" s="91">
        <v>24.0</v>
      </c>
      <c r="AE88" s="47">
        <v>25.0</v>
      </c>
      <c r="AF88" s="47">
        <v>26.0</v>
      </c>
      <c r="AG88" s="47">
        <v>27.0</v>
      </c>
      <c r="AH88" s="47">
        <v>28.0</v>
      </c>
      <c r="AI88" s="47">
        <v>29.0</v>
      </c>
      <c r="AJ88" s="47">
        <v>30.0</v>
      </c>
    </row>
    <row r="89" ht="13.5" customHeight="1">
      <c r="A89" s="4"/>
      <c r="B89" s="4"/>
      <c r="C89" s="98" t="s">
        <v>44</v>
      </c>
      <c r="D89" s="99">
        <f>SUM(D84:D87)</f>
        <v>0</v>
      </c>
      <c r="E89" s="4"/>
      <c r="F89" s="48"/>
      <c r="G89" s="97">
        <f t="shared" ref="G89:AJ89" si="7">IF(D25&gt;=30,1,0)</f>
        <v>0</v>
      </c>
      <c r="H89" s="97">
        <f t="shared" si="7"/>
        <v>0</v>
      </c>
      <c r="I89" s="97">
        <f t="shared" si="7"/>
        <v>0</v>
      </c>
      <c r="J89" s="97">
        <f t="shared" si="7"/>
        <v>0</v>
      </c>
      <c r="K89" s="97">
        <f t="shared" si="7"/>
        <v>0</v>
      </c>
      <c r="L89" s="97">
        <f t="shared" si="7"/>
        <v>0</v>
      </c>
      <c r="M89" s="97">
        <f t="shared" si="7"/>
        <v>0</v>
      </c>
      <c r="N89" s="97">
        <f t="shared" si="7"/>
        <v>0</v>
      </c>
      <c r="O89" s="97">
        <f t="shared" si="7"/>
        <v>0</v>
      </c>
      <c r="P89" s="97">
        <f t="shared" si="7"/>
        <v>0</v>
      </c>
      <c r="Q89" s="97">
        <f t="shared" si="7"/>
        <v>0</v>
      </c>
      <c r="R89" s="97">
        <f t="shared" si="7"/>
        <v>0</v>
      </c>
      <c r="S89" s="97">
        <f t="shared" si="7"/>
        <v>0</v>
      </c>
      <c r="T89" s="97">
        <f t="shared" si="7"/>
        <v>0</v>
      </c>
      <c r="U89" s="97">
        <f t="shared" si="7"/>
        <v>0</v>
      </c>
      <c r="V89" s="97">
        <f t="shared" si="7"/>
        <v>0</v>
      </c>
      <c r="W89" s="97">
        <f t="shared" si="7"/>
        <v>0</v>
      </c>
      <c r="X89" s="97">
        <f t="shared" si="7"/>
        <v>0</v>
      </c>
      <c r="Y89" s="97">
        <f t="shared" si="7"/>
        <v>0</v>
      </c>
      <c r="Z89" s="97">
        <f t="shared" si="7"/>
        <v>0</v>
      </c>
      <c r="AA89" s="97">
        <f t="shared" si="7"/>
        <v>0</v>
      </c>
      <c r="AB89" s="97">
        <f t="shared" si="7"/>
        <v>0</v>
      </c>
      <c r="AC89" s="97">
        <f t="shared" si="7"/>
        <v>0</v>
      </c>
      <c r="AD89" s="97">
        <f t="shared" si="7"/>
        <v>0</v>
      </c>
      <c r="AE89" s="97">
        <f t="shared" si="7"/>
        <v>0</v>
      </c>
      <c r="AF89" s="97">
        <f t="shared" si="7"/>
        <v>0</v>
      </c>
      <c r="AG89" s="97">
        <f t="shared" si="7"/>
        <v>0</v>
      </c>
      <c r="AH89" s="97">
        <f t="shared" si="7"/>
        <v>0</v>
      </c>
      <c r="AI89" s="97">
        <f t="shared" si="7"/>
        <v>0</v>
      </c>
      <c r="AJ89" s="97">
        <f t="shared" si="7"/>
        <v>0</v>
      </c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3.5" customHeight="1">
      <c r="A101" s="100"/>
      <c r="B101" s="100"/>
      <c r="C101" s="10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3.5" customHeight="1">
      <c r="A102" s="100"/>
      <c r="B102" s="100"/>
      <c r="C102" s="102"/>
      <c r="D102" s="100"/>
      <c r="E102" s="100"/>
      <c r="F102" s="100"/>
      <c r="G102" s="100"/>
      <c r="H102" s="10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3.5" customHeight="1">
      <c r="A103" s="100"/>
      <c r="B103" s="100"/>
      <c r="C103" s="103"/>
      <c r="D103" s="100"/>
      <c r="E103" s="100"/>
      <c r="F103" s="100"/>
      <c r="G103" s="100"/>
      <c r="H103" s="10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3.5" customHeight="1">
      <c r="A104" s="100"/>
      <c r="B104" s="100"/>
      <c r="C104" s="102"/>
      <c r="D104" s="100"/>
      <c r="E104" s="100"/>
      <c r="F104" s="100"/>
      <c r="G104" s="100"/>
      <c r="H104" s="100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3.5" customHeight="1">
      <c r="A105" s="100"/>
      <c r="B105" s="100"/>
      <c r="C105" s="103"/>
      <c r="D105" s="100"/>
      <c r="E105" s="100"/>
      <c r="F105" s="100"/>
      <c r="G105" s="100"/>
      <c r="H105" s="100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3.5" customHeight="1">
      <c r="A106" s="100"/>
      <c r="B106" s="100"/>
      <c r="C106" s="102"/>
      <c r="D106" s="100"/>
      <c r="E106" s="100"/>
      <c r="F106" s="100"/>
      <c r="G106" s="100"/>
      <c r="H106" s="100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3.5" customHeight="1">
      <c r="A107" s="100"/>
      <c r="B107" s="100"/>
      <c r="C107" s="102"/>
      <c r="D107" s="100"/>
      <c r="E107" s="100"/>
      <c r="F107" s="100"/>
      <c r="G107" s="100"/>
      <c r="H107" s="10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3.5" customHeight="1">
      <c r="A108" s="100"/>
      <c r="B108" s="100"/>
      <c r="C108" s="103"/>
      <c r="D108" s="100"/>
      <c r="E108" s="100"/>
      <c r="F108" s="100"/>
      <c r="G108" s="100"/>
      <c r="H108" s="10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3.5" customHeight="1">
      <c r="A109" s="100"/>
      <c r="B109" s="100"/>
      <c r="C109" s="102"/>
      <c r="D109" s="100"/>
      <c r="E109" s="100"/>
      <c r="F109" s="100"/>
      <c r="G109" s="100"/>
      <c r="H109" s="10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3.5" customHeight="1">
      <c r="A110" s="100"/>
      <c r="B110" s="100"/>
      <c r="C110" s="103"/>
      <c r="D110" s="100"/>
      <c r="E110" s="100"/>
      <c r="F110" s="100"/>
      <c r="G110" s="100"/>
      <c r="H110" s="10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3.5" customHeight="1">
      <c r="A111" s="100"/>
      <c r="B111" s="100"/>
      <c r="C111" s="102"/>
      <c r="D111" s="100"/>
      <c r="E111" s="100"/>
      <c r="F111" s="100"/>
      <c r="G111" s="100"/>
      <c r="H111" s="10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3.5" customHeight="1">
      <c r="A112" s="100"/>
      <c r="B112" s="100"/>
      <c r="C112" s="102"/>
      <c r="D112" s="100"/>
      <c r="E112" s="100"/>
      <c r="F112" s="100"/>
      <c r="G112" s="100"/>
      <c r="H112" s="100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3.5" customHeight="1">
      <c r="A113" s="100"/>
      <c r="B113" s="100"/>
      <c r="C113" s="102"/>
      <c r="D113" s="100"/>
      <c r="E113" s="100"/>
      <c r="F113" s="100"/>
      <c r="G113" s="100"/>
      <c r="H113" s="10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3.5" customHeight="1">
      <c r="A114" s="100"/>
      <c r="B114" s="100"/>
      <c r="C114" s="102"/>
      <c r="D114" s="100"/>
      <c r="E114" s="100"/>
      <c r="F114" s="100"/>
      <c r="G114" s="100"/>
      <c r="H114" s="10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3.5" customHeight="1">
      <c r="A115" s="100"/>
      <c r="B115" s="100"/>
      <c r="C115" s="102"/>
      <c r="D115" s="100"/>
      <c r="E115" s="100"/>
      <c r="F115" s="100"/>
      <c r="G115" s="100"/>
      <c r="H115" s="10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3.5" customHeight="1">
      <c r="A116" s="100"/>
      <c r="B116" s="100"/>
      <c r="C116" s="103"/>
      <c r="D116" s="100"/>
      <c r="E116" s="100"/>
      <c r="F116" s="100"/>
      <c r="G116" s="100"/>
      <c r="H116" s="10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3.5" customHeight="1">
      <c r="A117" s="100"/>
      <c r="B117" s="100"/>
      <c r="C117" s="103"/>
      <c r="D117" s="100"/>
      <c r="E117" s="100"/>
      <c r="F117" s="100"/>
      <c r="G117" s="100"/>
      <c r="H117" s="10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3.5" customHeight="1">
      <c r="A118" s="100"/>
      <c r="B118" s="100"/>
      <c r="C118" s="102"/>
      <c r="D118" s="100"/>
      <c r="E118" s="100"/>
      <c r="F118" s="100"/>
      <c r="G118" s="100"/>
      <c r="H118" s="10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3.5" customHeight="1">
      <c r="A119" s="100"/>
      <c r="B119" s="100"/>
      <c r="C119" s="103"/>
      <c r="D119" s="100"/>
      <c r="E119" s="100"/>
      <c r="F119" s="100"/>
      <c r="G119" s="100"/>
      <c r="H119" s="10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3.5" customHeight="1">
      <c r="A120" s="100"/>
      <c r="B120" s="100"/>
      <c r="C120" s="102"/>
      <c r="D120" s="100"/>
      <c r="E120" s="100"/>
      <c r="F120" s="100"/>
      <c r="G120" s="100"/>
      <c r="H120" s="10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3.5" customHeight="1">
      <c r="A121" s="100"/>
      <c r="B121" s="100"/>
      <c r="C121" s="102"/>
      <c r="D121" s="100"/>
      <c r="E121" s="100"/>
      <c r="F121" s="100"/>
      <c r="G121" s="100"/>
      <c r="H121" s="10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3.5" customHeight="1">
      <c r="A122" s="100"/>
      <c r="B122" s="100"/>
      <c r="C122" s="103"/>
      <c r="D122" s="100"/>
      <c r="E122" s="100"/>
      <c r="F122" s="100"/>
      <c r="G122" s="100"/>
      <c r="H122" s="10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3.5" customHeight="1">
      <c r="A123" s="100"/>
      <c r="B123" s="100"/>
      <c r="C123" s="102"/>
      <c r="D123" s="100"/>
      <c r="E123" s="100"/>
      <c r="F123" s="100"/>
      <c r="G123" s="100"/>
      <c r="H123" s="10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3.5" customHeight="1">
      <c r="A124" s="100"/>
      <c r="B124" s="100"/>
      <c r="C124" s="103"/>
      <c r="D124" s="100"/>
      <c r="E124" s="100"/>
      <c r="F124" s="100"/>
      <c r="G124" s="100"/>
      <c r="H124" s="10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3.5" customHeight="1">
      <c r="A125" s="100"/>
      <c r="B125" s="100"/>
      <c r="C125" s="102"/>
      <c r="D125" s="100"/>
      <c r="E125" s="100"/>
      <c r="F125" s="100"/>
      <c r="G125" s="100"/>
      <c r="H125" s="10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3.5" customHeight="1">
      <c r="A126" s="100"/>
      <c r="B126" s="100"/>
      <c r="C126" s="102"/>
      <c r="D126" s="100"/>
      <c r="E126" s="100"/>
      <c r="F126" s="100"/>
      <c r="G126" s="100"/>
      <c r="H126" s="10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3.5" customHeight="1">
      <c r="A127" s="100"/>
      <c r="B127" s="100"/>
      <c r="C127" s="103"/>
      <c r="D127" s="100"/>
      <c r="E127" s="100"/>
      <c r="F127" s="100"/>
      <c r="G127" s="100"/>
      <c r="H127" s="10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3.5" customHeight="1">
      <c r="A128" s="100"/>
      <c r="B128" s="100"/>
      <c r="C128" s="102"/>
      <c r="D128" s="100"/>
      <c r="E128" s="100"/>
      <c r="F128" s="100"/>
      <c r="G128" s="100"/>
      <c r="H128" s="10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3.5" customHeight="1">
      <c r="A129" s="100"/>
      <c r="B129" s="100"/>
      <c r="C129" s="102"/>
      <c r="D129" s="100"/>
      <c r="E129" s="100"/>
      <c r="F129" s="100"/>
      <c r="G129" s="100"/>
      <c r="H129" s="10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3.5" customHeight="1">
      <c r="A130" s="100"/>
      <c r="B130" s="100"/>
      <c r="C130" s="102"/>
      <c r="D130" s="100"/>
      <c r="E130" s="100"/>
      <c r="F130" s="100"/>
      <c r="G130" s="100"/>
      <c r="H130" s="10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3.5" customHeight="1">
      <c r="A131" s="100"/>
      <c r="B131" s="100"/>
      <c r="C131" s="102"/>
      <c r="D131" s="100"/>
      <c r="E131" s="100"/>
      <c r="F131" s="100"/>
      <c r="G131" s="100"/>
      <c r="H131" s="10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3.5" customHeight="1">
      <c r="A132" s="4"/>
      <c r="B132" s="4"/>
      <c r="C132" s="10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3.5" customHeight="1">
      <c r="A133" s="4"/>
      <c r="B133" s="4"/>
      <c r="C133" s="10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3.5" customHeight="1">
      <c r="A134" s="4"/>
      <c r="B134" s="4"/>
      <c r="C134" s="10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3.5" customHeight="1">
      <c r="A135" s="4"/>
      <c r="B135" s="4"/>
      <c r="C135" s="10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</sheetData>
  <mergeCells count="32">
    <mergeCell ref="A1:AI2"/>
    <mergeCell ref="A4:B4"/>
    <mergeCell ref="AG4:AI4"/>
    <mergeCell ref="AG5:AI5"/>
    <mergeCell ref="H9:AD9"/>
    <mergeCell ref="H10:AD10"/>
    <mergeCell ref="H11:AD11"/>
    <mergeCell ref="H12:AD12"/>
    <mergeCell ref="H13:AD13"/>
    <mergeCell ref="H14:AD14"/>
    <mergeCell ref="H15:AD15"/>
    <mergeCell ref="H16:AD16"/>
    <mergeCell ref="H17:AD17"/>
    <mergeCell ref="G30:AG30"/>
    <mergeCell ref="G31:AG31"/>
    <mergeCell ref="G32:AG32"/>
    <mergeCell ref="G33:AG33"/>
    <mergeCell ref="G34:AG34"/>
    <mergeCell ref="G39:AG39"/>
    <mergeCell ref="G40:AG40"/>
    <mergeCell ref="G41:AG41"/>
    <mergeCell ref="E69:G69"/>
    <mergeCell ref="E70:G70"/>
    <mergeCell ref="E71:G71"/>
    <mergeCell ref="C101:H101"/>
    <mergeCell ref="G42:AG42"/>
    <mergeCell ref="G43:AG43"/>
    <mergeCell ref="S50:T50"/>
    <mergeCell ref="C66:D66"/>
    <mergeCell ref="E66:G66"/>
    <mergeCell ref="E67:G67"/>
    <mergeCell ref="E68:G6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0"/>
    <col customWidth="1" min="2" max="2" width="203.0"/>
    <col customWidth="1" min="3" max="3" width="23.63"/>
    <col customWidth="1" min="4" max="4" width="26.63"/>
    <col customWidth="1" min="5" max="5" width="86.0"/>
    <col customWidth="1" min="6" max="26" width="76.0"/>
  </cols>
  <sheetData>
    <row r="1">
      <c r="A1" s="105"/>
      <c r="B1" s="105"/>
      <c r="C1" s="106"/>
      <c r="D1" s="106"/>
      <c r="E1" s="106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>
      <c r="A2" s="105"/>
      <c r="B2" s="105"/>
      <c r="C2" s="106"/>
      <c r="D2" s="106"/>
      <c r="E2" s="106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>
      <c r="A3" s="105"/>
      <c r="B3" s="105"/>
      <c r="C3" s="106"/>
      <c r="D3" s="106"/>
      <c r="E3" s="106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</row>
    <row r="4">
      <c r="A4" s="105"/>
      <c r="B4" s="105"/>
      <c r="C4" s="106"/>
      <c r="D4" s="106"/>
      <c r="E4" s="106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>
      <c r="A5" s="105"/>
      <c r="B5" s="105"/>
      <c r="C5" s="106"/>
      <c r="D5" s="106"/>
      <c r="E5" s="106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>
      <c r="A6" s="105"/>
      <c r="B6" s="105"/>
      <c r="C6" s="106"/>
      <c r="D6" s="106"/>
      <c r="E6" s="106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>
      <c r="A7" s="105"/>
      <c r="B7" s="105"/>
      <c r="C7" s="106"/>
      <c r="D7" s="106"/>
      <c r="E7" s="106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>
      <c r="A8" s="105"/>
      <c r="B8" s="105"/>
      <c r="C8" s="106"/>
      <c r="D8" s="106"/>
      <c r="E8" s="106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>
      <c r="A9" s="105"/>
      <c r="B9" s="105"/>
      <c r="C9" s="106"/>
      <c r="D9" s="106"/>
      <c r="E9" s="106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>
      <c r="A10" s="105"/>
      <c r="B10" s="105"/>
      <c r="C10" s="106"/>
      <c r="D10" s="106"/>
      <c r="E10" s="106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>
      <c r="A11" s="105"/>
      <c r="B11" s="105"/>
      <c r="C11" s="106"/>
      <c r="D11" s="106"/>
      <c r="E11" s="106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>
      <c r="A12" s="105"/>
      <c r="B12" s="105"/>
      <c r="C12" s="106"/>
      <c r="D12" s="106"/>
      <c r="E12" s="106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>
      <c r="A13" s="105"/>
      <c r="B13" s="105"/>
      <c r="C13" s="106"/>
      <c r="D13" s="106"/>
      <c r="E13" s="106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>
      <c r="A14" s="105"/>
      <c r="B14" s="105"/>
      <c r="C14" s="106"/>
      <c r="D14" s="106"/>
      <c r="E14" s="106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>
      <c r="A15" s="105"/>
      <c r="B15" s="105"/>
      <c r="C15" s="106"/>
      <c r="D15" s="106"/>
      <c r="E15" s="106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>
      <c r="A16" s="105"/>
      <c r="B16" s="105"/>
      <c r="C16" s="106"/>
      <c r="D16" s="106"/>
      <c r="E16" s="106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>
      <c r="A17" s="105"/>
      <c r="B17" s="105"/>
      <c r="C17" s="106"/>
      <c r="D17" s="106"/>
      <c r="E17" s="106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>
      <c r="A18" s="105"/>
      <c r="B18" s="105"/>
      <c r="C18" s="106"/>
      <c r="D18" s="106"/>
      <c r="E18" s="106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>
      <c r="A19" s="105"/>
      <c r="B19" s="105"/>
      <c r="C19" s="106"/>
      <c r="D19" s="106"/>
      <c r="E19" s="106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>
      <c r="A20" s="105"/>
      <c r="B20" s="105"/>
      <c r="C20" s="106"/>
      <c r="D20" s="106"/>
      <c r="E20" s="106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>
      <c r="A21" s="105"/>
      <c r="B21" s="105"/>
      <c r="C21" s="106"/>
      <c r="D21" s="106"/>
      <c r="E21" s="106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>
      <c r="A22" s="105"/>
      <c r="B22" s="105"/>
      <c r="C22" s="106"/>
      <c r="D22" s="106"/>
      <c r="E22" s="106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>
      <c r="A23" s="105"/>
      <c r="B23" s="105"/>
      <c r="C23" s="106"/>
      <c r="D23" s="106"/>
      <c r="E23" s="106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>
      <c r="A24" s="105"/>
      <c r="B24" s="105"/>
      <c r="C24" s="106"/>
      <c r="D24" s="106"/>
      <c r="E24" s="106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>
      <c r="A25" s="105"/>
      <c r="B25" s="105"/>
      <c r="C25" s="106"/>
      <c r="D25" s="106"/>
      <c r="E25" s="106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>
      <c r="A26" s="105"/>
      <c r="B26" s="105"/>
      <c r="C26" s="106"/>
      <c r="D26" s="106"/>
      <c r="E26" s="106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>
      <c r="A27" s="105"/>
      <c r="B27" s="105"/>
      <c r="C27" s="106"/>
      <c r="D27" s="106"/>
      <c r="E27" s="106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>
      <c r="A28" s="105"/>
      <c r="B28" s="105"/>
      <c r="C28" s="106"/>
      <c r="D28" s="106"/>
      <c r="E28" s="106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>
      <c r="A29" s="105"/>
      <c r="B29" s="105"/>
      <c r="C29" s="106"/>
      <c r="D29" s="106"/>
      <c r="E29" s="106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>
      <c r="A30" s="105"/>
      <c r="B30" s="105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>
      <c r="A31" s="108"/>
      <c r="B31" s="108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>
      <c r="A32" s="108"/>
      <c r="B32" s="108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>
      <c r="A33" s="108"/>
      <c r="B33" s="108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>
      <c r="A34" s="108"/>
      <c r="B34" s="108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>
      <c r="A35" s="105"/>
      <c r="B35" s="109" t="s">
        <v>45</v>
      </c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>
      <c r="A36" s="110" t="s">
        <v>46</v>
      </c>
      <c r="B36" s="105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>
      <c r="A37" s="110" t="s">
        <v>47</v>
      </c>
      <c r="B37" s="105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>
      <c r="A38" s="110" t="s">
        <v>48</v>
      </c>
      <c r="B38" s="105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</row>
    <row r="39">
      <c r="A39" s="111" t="s">
        <v>49</v>
      </c>
      <c r="B39" s="112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>
      <c r="A40" s="111" t="s">
        <v>50</v>
      </c>
      <c r="B40" s="112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>
      <c r="A41" s="111" t="s">
        <v>51</v>
      </c>
      <c r="B41" s="112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>
      <c r="A42" s="111" t="s">
        <v>52</v>
      </c>
      <c r="B42" s="112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>
      <c r="A43" s="110" t="s">
        <v>53</v>
      </c>
      <c r="B43" s="105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>
      <c r="A44" s="110" t="s">
        <v>54</v>
      </c>
      <c r="B44" s="112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>
      <c r="A45" s="110" t="s">
        <v>55</v>
      </c>
      <c r="B45" s="112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>
      <c r="A46" s="108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>
      <c r="A47" s="108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>
      <c r="A48" s="108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>
      <c r="A49" s="113" t="s">
        <v>56</v>
      </c>
      <c r="B49" s="114" t="s">
        <v>57</v>
      </c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>
      <c r="A50" s="115" t="s">
        <v>58</v>
      </c>
      <c r="B50" s="116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A51" s="115" t="s">
        <v>59</v>
      </c>
      <c r="B51" s="116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15" t="s">
        <v>60</v>
      </c>
      <c r="B52" s="11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15" t="s">
        <v>61</v>
      </c>
      <c r="B53" s="116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15" t="s">
        <v>62</v>
      </c>
      <c r="B54" s="116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15" t="s">
        <v>63</v>
      </c>
      <c r="B55" s="116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15" t="s">
        <v>64</v>
      </c>
      <c r="B56" s="116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17" t="s">
        <v>65</v>
      </c>
      <c r="B57" s="118"/>
      <c r="C57" s="108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8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8"/>
      <c r="B59" s="107"/>
      <c r="C59" s="107"/>
      <c r="D59" s="108"/>
      <c r="E59" s="108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8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8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8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8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8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8"/>
      <c r="B65" s="108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7"/>
      <c r="B66" s="108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7"/>
      <c r="B67" s="107"/>
      <c r="C67" s="108"/>
      <c r="D67" s="108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7"/>
      <c r="B69" s="107"/>
      <c r="C69" s="108"/>
      <c r="D69" s="108"/>
      <c r="E69" s="108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8"/>
      <c r="B70" s="108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8"/>
      <c r="B83" s="108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7"/>
      <c r="B84" s="119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7"/>
      <c r="B85" s="119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7"/>
      <c r="B86" s="119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7"/>
      <c r="B87" s="119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7"/>
      <c r="B88" s="119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7"/>
      <c r="B89" s="119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7"/>
      <c r="B90" s="119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7"/>
      <c r="B92" s="108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  <row r="1001">
      <c r="A1001" s="120"/>
      <c r="B1001" s="120"/>
      <c r="C1001" s="120"/>
      <c r="D1001" s="120"/>
      <c r="E1001" s="120"/>
      <c r="F1001" s="120"/>
      <c r="G1001" s="120"/>
      <c r="H1001" s="120"/>
      <c r="I1001" s="120"/>
      <c r="J1001" s="120"/>
      <c r="K1001" s="120"/>
      <c r="L1001" s="120"/>
      <c r="M1001" s="120"/>
      <c r="N1001" s="120"/>
      <c r="O1001" s="120"/>
      <c r="P1001" s="120"/>
      <c r="Q1001" s="120"/>
      <c r="R1001" s="120"/>
      <c r="S1001" s="120"/>
      <c r="T1001" s="120"/>
      <c r="U1001" s="120"/>
      <c r="V1001" s="120"/>
      <c r="W1001" s="120"/>
      <c r="X1001" s="120"/>
      <c r="Y1001" s="120"/>
      <c r="Z1001" s="120"/>
    </row>
    <row r="1002">
      <c r="A1002" s="120"/>
      <c r="B1002" s="120"/>
      <c r="C1002" s="120"/>
      <c r="D1002" s="120"/>
      <c r="E1002" s="120"/>
      <c r="F1002" s="120"/>
      <c r="G1002" s="120"/>
      <c r="H1002" s="120"/>
      <c r="I1002" s="120"/>
      <c r="J1002" s="120"/>
      <c r="K1002" s="120"/>
      <c r="L1002" s="120"/>
      <c r="M1002" s="120"/>
      <c r="N1002" s="120"/>
      <c r="O1002" s="120"/>
      <c r="P1002" s="120"/>
      <c r="Q1002" s="120"/>
      <c r="R1002" s="120"/>
      <c r="S1002" s="120"/>
      <c r="T1002" s="120"/>
      <c r="U1002" s="120"/>
      <c r="V1002" s="120"/>
      <c r="W1002" s="120"/>
      <c r="X1002" s="120"/>
      <c r="Y1002" s="120"/>
      <c r="Z1002" s="120"/>
    </row>
    <row r="1003">
      <c r="A1003" s="120"/>
      <c r="B1003" s="120"/>
      <c r="C1003" s="120"/>
      <c r="D1003" s="120"/>
      <c r="E1003" s="120"/>
      <c r="F1003" s="120"/>
      <c r="G1003" s="120"/>
      <c r="H1003" s="120"/>
      <c r="I1003" s="120"/>
      <c r="J1003" s="120"/>
      <c r="K1003" s="120"/>
      <c r="L1003" s="120"/>
      <c r="M1003" s="120"/>
      <c r="N1003" s="120"/>
      <c r="O1003" s="120"/>
      <c r="P1003" s="120"/>
      <c r="Q1003" s="120"/>
      <c r="R1003" s="120"/>
      <c r="S1003" s="120"/>
      <c r="T1003" s="120"/>
      <c r="U1003" s="120"/>
      <c r="V1003" s="120"/>
      <c r="W1003" s="120"/>
      <c r="X1003" s="120"/>
      <c r="Y1003" s="120"/>
      <c r="Z1003" s="120"/>
    </row>
    <row r="1004">
      <c r="A1004" s="120"/>
      <c r="B1004" s="120"/>
      <c r="C1004" s="120"/>
      <c r="D1004" s="120"/>
      <c r="E1004" s="120"/>
      <c r="F1004" s="120"/>
      <c r="G1004" s="120"/>
      <c r="H1004" s="120"/>
      <c r="I1004" s="120"/>
      <c r="J1004" s="120"/>
      <c r="K1004" s="120"/>
      <c r="L1004" s="120"/>
      <c r="M1004" s="120"/>
      <c r="N1004" s="120"/>
      <c r="O1004" s="120"/>
      <c r="P1004" s="120"/>
      <c r="Q1004" s="120"/>
      <c r="R1004" s="120"/>
      <c r="S1004" s="120"/>
      <c r="T1004" s="120"/>
      <c r="U1004" s="120"/>
      <c r="V1004" s="120"/>
      <c r="W1004" s="120"/>
      <c r="X1004" s="120"/>
      <c r="Y1004" s="120"/>
      <c r="Z1004" s="120"/>
    </row>
    <row r="1005">
      <c r="A1005" s="120"/>
      <c r="B1005" s="120"/>
      <c r="C1005" s="120"/>
      <c r="D1005" s="120"/>
      <c r="E1005" s="120"/>
      <c r="F1005" s="120"/>
      <c r="G1005" s="120"/>
      <c r="H1005" s="120"/>
      <c r="I1005" s="120"/>
      <c r="J1005" s="120"/>
      <c r="K1005" s="120"/>
      <c r="L1005" s="120"/>
      <c r="M1005" s="120"/>
      <c r="N1005" s="120"/>
      <c r="O1005" s="120"/>
      <c r="P1005" s="120"/>
      <c r="Q1005" s="120"/>
      <c r="R1005" s="120"/>
      <c r="S1005" s="120"/>
      <c r="T1005" s="120"/>
      <c r="U1005" s="120"/>
      <c r="V1005" s="120"/>
      <c r="W1005" s="120"/>
      <c r="X1005" s="120"/>
      <c r="Y1005" s="120"/>
      <c r="Z1005" s="120"/>
    </row>
    <row r="1006">
      <c r="A1006" s="120"/>
      <c r="B1006" s="120"/>
      <c r="C1006" s="120"/>
      <c r="D1006" s="120"/>
      <c r="E1006" s="120"/>
      <c r="F1006" s="120"/>
      <c r="G1006" s="120"/>
      <c r="H1006" s="120"/>
      <c r="I1006" s="120"/>
      <c r="J1006" s="120"/>
      <c r="K1006" s="120"/>
      <c r="L1006" s="120"/>
      <c r="M1006" s="120"/>
      <c r="N1006" s="120"/>
      <c r="O1006" s="120"/>
      <c r="P1006" s="120"/>
      <c r="Q1006" s="120"/>
      <c r="R1006" s="120"/>
      <c r="S1006" s="120"/>
      <c r="T1006" s="120"/>
      <c r="U1006" s="120"/>
      <c r="V1006" s="120"/>
      <c r="W1006" s="120"/>
      <c r="X1006" s="120"/>
      <c r="Y1006" s="120"/>
      <c r="Z1006" s="1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9.5"/>
  </cols>
  <sheetData>
    <row r="1" ht="66.0" customHeight="1">
      <c r="A1" s="121" t="s">
        <v>66</v>
      </c>
      <c r="B1" s="122"/>
    </row>
    <row r="2" ht="27.75" customHeight="1">
      <c r="A2" s="123"/>
      <c r="B2" s="124"/>
      <c r="C2" s="123"/>
    </row>
    <row r="3" ht="27.75" customHeight="1">
      <c r="A3" s="123" t="s">
        <v>67</v>
      </c>
      <c r="B3" s="123" t="s">
        <v>68</v>
      </c>
      <c r="C3" s="123" t="s">
        <v>69</v>
      </c>
    </row>
    <row r="4" ht="27.75" customHeight="1">
      <c r="A4" s="125" t="s">
        <v>70</v>
      </c>
    </row>
    <row r="5" ht="27.75" customHeight="1">
      <c r="A5" s="125" t="s">
        <v>71</v>
      </c>
    </row>
    <row r="6" ht="27.75" customHeight="1">
      <c r="A6" s="125" t="s">
        <v>72</v>
      </c>
    </row>
    <row r="7" ht="27.75" customHeight="1">
      <c r="A7" s="125" t="s">
        <v>73</v>
      </c>
    </row>
    <row r="8" ht="27.75" customHeight="1">
      <c r="A8" s="125" t="s">
        <v>74</v>
      </c>
    </row>
    <row r="9" ht="27.75" customHeight="1">
      <c r="A9" s="125" t="s">
        <v>75</v>
      </c>
    </row>
    <row r="10" ht="27.75" customHeight="1">
      <c r="A10" s="126"/>
      <c r="B10" s="127"/>
    </row>
    <row r="11" ht="27.75" customHeight="1">
      <c r="A11" s="123" t="s">
        <v>76</v>
      </c>
      <c r="B11" s="123" t="s">
        <v>77</v>
      </c>
      <c r="C11" s="123" t="s">
        <v>69</v>
      </c>
    </row>
    <row r="12" ht="27.75" customHeight="1">
      <c r="A12" s="125" t="s">
        <v>18</v>
      </c>
    </row>
    <row r="13" ht="27.75" customHeight="1">
      <c r="A13" s="125" t="s">
        <v>16</v>
      </c>
    </row>
    <row r="14" ht="27.75" customHeight="1">
      <c r="A14" s="125" t="s">
        <v>14</v>
      </c>
    </row>
    <row r="15" ht="27.75" customHeight="1">
      <c r="A15" s="128" t="s">
        <v>78</v>
      </c>
      <c r="B15" s="129"/>
      <c r="C15" s="130"/>
    </row>
    <row r="16" ht="27.75" customHeight="1">
      <c r="A16" s="131" t="s">
        <v>79</v>
      </c>
    </row>
    <row r="17" ht="27.75" customHeight="1">
      <c r="A17" s="126"/>
      <c r="B17" s="127"/>
    </row>
    <row r="18" ht="27.75" customHeight="1">
      <c r="A18" s="126"/>
      <c r="B18" s="127"/>
    </row>
    <row r="19" ht="27.75" customHeight="1">
      <c r="A19" s="126"/>
      <c r="B19" s="127"/>
    </row>
    <row r="20" ht="27.75" customHeight="1">
      <c r="A20" s="126"/>
      <c r="B20" s="127"/>
    </row>
    <row r="21" ht="27.75" customHeight="1">
      <c r="A21" s="126"/>
      <c r="B21" s="127"/>
    </row>
    <row r="22" ht="27.75" customHeight="1">
      <c r="A22" s="126"/>
      <c r="B22" s="127"/>
    </row>
    <row r="23" ht="27.75" customHeight="1">
      <c r="A23" s="126"/>
      <c r="B23" s="127"/>
    </row>
    <row r="24" ht="27.75" customHeight="1">
      <c r="A24" s="126"/>
      <c r="B24" s="127"/>
    </row>
    <row r="25" ht="27.75" customHeight="1">
      <c r="A25" s="126"/>
      <c r="B25" s="127"/>
    </row>
    <row r="26" ht="66.0" customHeight="1">
      <c r="A26" s="126"/>
      <c r="B26" s="127"/>
    </row>
    <row r="27" ht="66.0" customHeight="1">
      <c r="A27" s="126"/>
      <c r="B27" s="127"/>
    </row>
    <row r="28" ht="66.0" customHeight="1">
      <c r="A28" s="126"/>
      <c r="B28" s="127"/>
    </row>
    <row r="29" ht="66.0" customHeight="1">
      <c r="A29" s="126"/>
      <c r="B29" s="127"/>
    </row>
    <row r="30" ht="66.0" customHeight="1">
      <c r="A30" s="126"/>
      <c r="B30" s="127"/>
    </row>
    <row r="31" ht="66.0" customHeight="1">
      <c r="A31" s="126"/>
      <c r="B31" s="127"/>
    </row>
    <row r="32" ht="66.0" customHeight="1">
      <c r="A32" s="126"/>
      <c r="B32" s="127"/>
    </row>
    <row r="33" ht="66.0" customHeight="1">
      <c r="A33" s="126"/>
      <c r="B33" s="127"/>
    </row>
    <row r="34" ht="336.0" customHeight="1">
      <c r="A34" s="126"/>
      <c r="B34" s="127"/>
    </row>
    <row r="35" ht="336.0" customHeight="1">
      <c r="A35" s="126"/>
      <c r="B35" s="127"/>
    </row>
    <row r="36" ht="336.0" customHeight="1">
      <c r="A36" s="126"/>
      <c r="B36" s="127"/>
    </row>
    <row r="37" ht="336.0" customHeight="1">
      <c r="A37" s="126"/>
      <c r="B37" s="127"/>
    </row>
    <row r="38" ht="336.0" customHeight="1">
      <c r="A38" s="126"/>
      <c r="B38" s="127"/>
    </row>
    <row r="39" ht="336.0" customHeight="1">
      <c r="A39" s="126"/>
      <c r="B39" s="127"/>
    </row>
    <row r="40" ht="336.0" customHeight="1">
      <c r="A40" s="126"/>
      <c r="B40" s="127"/>
    </row>
    <row r="41" ht="336.0" customHeight="1">
      <c r="A41" s="126"/>
      <c r="B41" s="127"/>
    </row>
    <row r="42" ht="336.0" customHeight="1">
      <c r="A42" s="126"/>
      <c r="B42" s="127"/>
    </row>
    <row r="43" ht="336.0" customHeight="1">
      <c r="A43" s="126"/>
      <c r="B43" s="127"/>
    </row>
    <row r="44" ht="336.0" customHeight="1">
      <c r="A44" s="126"/>
      <c r="B44" s="127"/>
    </row>
    <row r="45" ht="336.0" customHeight="1">
      <c r="A45" s="126"/>
      <c r="B45" s="127"/>
    </row>
    <row r="46" ht="336.0" customHeight="1">
      <c r="A46" s="126"/>
      <c r="B46" s="127"/>
    </row>
    <row r="47" ht="336.0" customHeight="1">
      <c r="A47" s="126"/>
      <c r="B47" s="127"/>
    </row>
    <row r="48" ht="336.0" customHeight="1">
      <c r="A48" s="126"/>
      <c r="B48" s="127"/>
    </row>
    <row r="49" ht="336.0" customHeight="1">
      <c r="A49" s="126"/>
      <c r="B49" s="127"/>
    </row>
    <row r="50" ht="336.0" customHeight="1">
      <c r="A50" s="126"/>
      <c r="B50" s="127"/>
    </row>
    <row r="51" ht="336.0" customHeight="1">
      <c r="A51" s="126"/>
      <c r="B51" s="127"/>
    </row>
    <row r="52" ht="336.0" customHeight="1">
      <c r="A52" s="126"/>
      <c r="B52" s="127"/>
    </row>
    <row r="53" ht="336.0" customHeight="1">
      <c r="A53" s="126"/>
      <c r="B53" s="127"/>
    </row>
    <row r="54" ht="336.0" customHeight="1">
      <c r="A54" s="126"/>
      <c r="B54" s="127"/>
    </row>
    <row r="55" ht="336.0" customHeight="1">
      <c r="A55" s="126"/>
      <c r="B55" s="127"/>
    </row>
    <row r="56" ht="336.0" customHeight="1">
      <c r="A56" s="126"/>
      <c r="B56" s="127"/>
    </row>
    <row r="57" ht="336.0" customHeight="1">
      <c r="A57" s="126"/>
      <c r="B57" s="127"/>
    </row>
    <row r="58" ht="336.0" customHeight="1">
      <c r="A58" s="126"/>
      <c r="B58" s="127"/>
    </row>
    <row r="59" ht="336.0" customHeight="1">
      <c r="A59" s="126"/>
      <c r="B59" s="127"/>
    </row>
    <row r="60" ht="336.0" customHeight="1">
      <c r="A60" s="126"/>
      <c r="B60" s="127"/>
    </row>
    <row r="61" ht="336.0" customHeight="1">
      <c r="A61" s="126"/>
      <c r="B61" s="127"/>
    </row>
    <row r="62" ht="336.0" customHeight="1">
      <c r="A62" s="126"/>
      <c r="B62" s="127"/>
    </row>
    <row r="63" ht="336.0" customHeight="1">
      <c r="A63" s="126"/>
      <c r="B63" s="127"/>
    </row>
    <row r="64" ht="336.0" customHeight="1">
      <c r="A64" s="126"/>
      <c r="B64" s="127"/>
    </row>
    <row r="65" ht="336.0" customHeight="1">
      <c r="A65" s="126"/>
      <c r="B65" s="127"/>
    </row>
    <row r="66" ht="336.0" customHeight="1">
      <c r="A66" s="126"/>
      <c r="B66" s="127"/>
    </row>
    <row r="67" ht="336.0" customHeight="1">
      <c r="A67" s="126"/>
      <c r="B67" s="127"/>
    </row>
    <row r="68" ht="336.0" customHeight="1">
      <c r="A68" s="126"/>
      <c r="B68" s="127"/>
    </row>
    <row r="69" ht="336.0" customHeight="1">
      <c r="A69" s="126"/>
      <c r="B69" s="127"/>
    </row>
    <row r="70" ht="336.0" customHeight="1">
      <c r="A70" s="126"/>
      <c r="B70" s="127"/>
    </row>
    <row r="71" ht="336.0" customHeight="1">
      <c r="A71" s="126"/>
      <c r="B71" s="127"/>
    </row>
    <row r="72" ht="336.0" customHeight="1">
      <c r="A72" s="126"/>
      <c r="B72" s="127"/>
    </row>
    <row r="73" ht="336.0" customHeight="1">
      <c r="A73" s="126"/>
      <c r="B73" s="127"/>
    </row>
    <row r="74" ht="336.0" customHeight="1">
      <c r="A74" s="126"/>
      <c r="B74" s="127"/>
    </row>
    <row r="75" ht="336.0" customHeight="1">
      <c r="A75" s="126"/>
      <c r="B75" s="127"/>
    </row>
    <row r="76" ht="336.0" customHeight="1">
      <c r="A76" s="126"/>
      <c r="B76" s="127"/>
    </row>
    <row r="77" ht="336.0" customHeight="1">
      <c r="A77" s="126"/>
      <c r="B77" s="127"/>
    </row>
    <row r="78" ht="336.0" customHeight="1">
      <c r="A78" s="126"/>
      <c r="B78" s="127"/>
    </row>
    <row r="79" ht="336.0" customHeight="1">
      <c r="A79" s="126"/>
      <c r="B79" s="127"/>
    </row>
    <row r="80" ht="336.0" customHeight="1">
      <c r="A80" s="126"/>
      <c r="B80" s="127"/>
    </row>
    <row r="81" ht="336.0" customHeight="1">
      <c r="A81" s="126"/>
      <c r="B81" s="127"/>
    </row>
    <row r="82" ht="336.0" customHeight="1">
      <c r="A82" s="126"/>
      <c r="B82" s="127"/>
    </row>
    <row r="83" ht="336.0" customHeight="1">
      <c r="A83" s="126"/>
      <c r="B83" s="127"/>
    </row>
    <row r="84" ht="336.0" customHeight="1">
      <c r="A84" s="126"/>
      <c r="B84" s="127"/>
    </row>
    <row r="85" ht="336.0" customHeight="1">
      <c r="A85" s="126"/>
      <c r="B85" s="127"/>
    </row>
    <row r="86" ht="336.0" customHeight="1">
      <c r="A86" s="126"/>
      <c r="B86" s="127"/>
    </row>
    <row r="87" ht="336.0" customHeight="1">
      <c r="A87" s="126"/>
      <c r="B87" s="127"/>
    </row>
    <row r="88" ht="336.0" customHeight="1">
      <c r="A88" s="126"/>
      <c r="B88" s="127"/>
    </row>
    <row r="89" ht="336.0" customHeight="1">
      <c r="A89" s="126"/>
      <c r="B89" s="127"/>
    </row>
    <row r="90" ht="336.0" customHeight="1">
      <c r="A90" s="126"/>
      <c r="B90" s="127"/>
    </row>
    <row r="91" ht="336.0" customHeight="1">
      <c r="A91" s="126"/>
      <c r="B91" s="127"/>
    </row>
    <row r="92" ht="336.0" customHeight="1">
      <c r="A92" s="126"/>
      <c r="B92" s="127"/>
    </row>
    <row r="93" ht="336.0" customHeight="1">
      <c r="A93" s="126"/>
      <c r="B93" s="127"/>
    </row>
    <row r="94" ht="336.0" customHeight="1">
      <c r="A94" s="126"/>
      <c r="B94" s="127"/>
    </row>
    <row r="95" ht="336.0" customHeight="1">
      <c r="A95" s="126"/>
      <c r="B95" s="127"/>
    </row>
    <row r="96" ht="336.0" customHeight="1">
      <c r="A96" s="126"/>
      <c r="B96" s="127"/>
    </row>
    <row r="97" ht="336.0" customHeight="1">
      <c r="A97" s="126"/>
      <c r="B97" s="127"/>
    </row>
    <row r="98" ht="336.0" customHeight="1">
      <c r="A98" s="126"/>
      <c r="B98" s="127"/>
    </row>
    <row r="99" ht="336.0" customHeight="1">
      <c r="A99" s="126"/>
      <c r="B99" s="127"/>
    </row>
    <row r="100" ht="336.0" customHeight="1">
      <c r="A100" s="126"/>
      <c r="B100" s="127"/>
    </row>
    <row r="101" ht="336.0" customHeight="1">
      <c r="A101" s="126"/>
      <c r="B101" s="127"/>
    </row>
    <row r="102" ht="336.0" customHeight="1">
      <c r="A102" s="126"/>
      <c r="B102" s="127"/>
    </row>
    <row r="103" ht="336.0" customHeight="1">
      <c r="A103" s="126"/>
      <c r="B103" s="127"/>
    </row>
    <row r="104" ht="336.0" customHeight="1">
      <c r="A104" s="126"/>
      <c r="B104" s="127"/>
    </row>
    <row r="105" ht="336.0" customHeight="1">
      <c r="A105" s="126"/>
      <c r="B105" s="127"/>
    </row>
    <row r="106" ht="336.0" customHeight="1">
      <c r="A106" s="126"/>
      <c r="B106" s="127"/>
    </row>
    <row r="107" ht="336.0" customHeight="1">
      <c r="A107" s="126"/>
      <c r="B107" s="127"/>
    </row>
    <row r="108" ht="336.0" customHeight="1">
      <c r="A108" s="126"/>
      <c r="B108" s="127"/>
    </row>
    <row r="109" ht="336.0" customHeight="1">
      <c r="A109" s="126"/>
      <c r="B109" s="127"/>
    </row>
    <row r="110" ht="336.0" customHeight="1">
      <c r="A110" s="126"/>
      <c r="B110" s="127"/>
    </row>
    <row r="111" ht="336.0" customHeight="1">
      <c r="A111" s="126"/>
      <c r="B111" s="127"/>
    </row>
    <row r="112" ht="336.0" customHeight="1">
      <c r="A112" s="126"/>
      <c r="B112" s="127"/>
    </row>
    <row r="113" ht="336.0" customHeight="1">
      <c r="A113" s="126"/>
      <c r="B113" s="127"/>
    </row>
    <row r="114" ht="336.0" customHeight="1">
      <c r="A114" s="126"/>
      <c r="B114" s="127"/>
    </row>
    <row r="115" ht="336.0" customHeight="1">
      <c r="A115" s="126"/>
      <c r="B115" s="127"/>
    </row>
    <row r="116" ht="336.0" customHeight="1">
      <c r="A116" s="126"/>
      <c r="B116" s="127"/>
    </row>
    <row r="117" ht="336.0" customHeight="1">
      <c r="A117" s="126"/>
      <c r="B117" s="127"/>
    </row>
    <row r="118" ht="336.0" customHeight="1">
      <c r="A118" s="126"/>
      <c r="B118" s="127"/>
    </row>
    <row r="119" ht="336.0" customHeight="1">
      <c r="A119" s="126"/>
      <c r="B119" s="127"/>
    </row>
    <row r="120" ht="336.0" customHeight="1">
      <c r="A120" s="126"/>
      <c r="B120" s="127"/>
    </row>
    <row r="121" ht="336.0" customHeight="1">
      <c r="A121" s="126"/>
      <c r="B121" s="127"/>
    </row>
    <row r="122" ht="336.0" customHeight="1">
      <c r="A122" s="126"/>
      <c r="B122" s="127"/>
    </row>
    <row r="123" ht="336.0" customHeight="1">
      <c r="A123" s="126"/>
      <c r="B123" s="127"/>
    </row>
    <row r="124" ht="336.0" customHeight="1">
      <c r="A124" s="126"/>
      <c r="B124" s="127"/>
    </row>
    <row r="125" ht="336.0" customHeight="1">
      <c r="A125" s="126"/>
      <c r="B125" s="127"/>
    </row>
    <row r="126" ht="336.0" customHeight="1">
      <c r="A126" s="126"/>
      <c r="B126" s="127"/>
    </row>
    <row r="127" ht="336.0" customHeight="1">
      <c r="A127" s="126"/>
      <c r="B127" s="127"/>
    </row>
    <row r="128" ht="336.0" customHeight="1">
      <c r="A128" s="126"/>
      <c r="B128" s="127"/>
    </row>
    <row r="129" ht="336.0" customHeight="1">
      <c r="A129" s="126"/>
      <c r="B129" s="127"/>
    </row>
    <row r="130" ht="336.0" customHeight="1">
      <c r="A130" s="126"/>
      <c r="B130" s="127"/>
    </row>
    <row r="131" ht="336.0" customHeight="1">
      <c r="A131" s="126"/>
      <c r="B131" s="127"/>
    </row>
    <row r="132" ht="336.0" customHeight="1">
      <c r="A132" s="126"/>
      <c r="B132" s="127"/>
    </row>
    <row r="133" ht="336.0" customHeight="1">
      <c r="A133" s="126"/>
      <c r="B133" s="127"/>
    </row>
    <row r="134" ht="336.0" customHeight="1">
      <c r="A134" s="126"/>
      <c r="B134" s="127"/>
    </row>
    <row r="135" ht="336.0" customHeight="1">
      <c r="A135" s="126"/>
      <c r="B135" s="127"/>
    </row>
    <row r="136" ht="336.0" customHeight="1">
      <c r="A136" s="126"/>
      <c r="B136" s="127"/>
    </row>
    <row r="137" ht="336.0" customHeight="1">
      <c r="A137" s="126"/>
      <c r="B137" s="127"/>
    </row>
    <row r="138" ht="336.0" customHeight="1">
      <c r="A138" s="126"/>
      <c r="B138" s="127"/>
    </row>
    <row r="139" ht="336.0" customHeight="1">
      <c r="A139" s="126"/>
      <c r="B139" s="127"/>
    </row>
    <row r="140" ht="336.0" customHeight="1">
      <c r="A140" s="126"/>
      <c r="B140" s="127"/>
    </row>
    <row r="141" ht="336.0" customHeight="1">
      <c r="A141" s="126"/>
      <c r="B141" s="127"/>
    </row>
    <row r="142" ht="336.0" customHeight="1">
      <c r="A142" s="126"/>
      <c r="B142" s="127"/>
    </row>
    <row r="143" ht="336.0" customHeight="1">
      <c r="A143" s="126"/>
      <c r="B143" s="127"/>
    </row>
    <row r="144" ht="336.0" customHeight="1">
      <c r="A144" s="126"/>
      <c r="B144" s="127"/>
    </row>
    <row r="145" ht="336.0" customHeight="1">
      <c r="A145" s="126"/>
      <c r="B145" s="127"/>
    </row>
    <row r="146" ht="336.0" customHeight="1">
      <c r="A146" s="126"/>
      <c r="B146" s="127"/>
    </row>
    <row r="147" ht="336.0" customHeight="1">
      <c r="A147" s="126"/>
      <c r="B147" s="127"/>
    </row>
    <row r="148" ht="336.0" customHeight="1">
      <c r="A148" s="126"/>
      <c r="B148" s="127"/>
    </row>
    <row r="149" ht="336.0" customHeight="1">
      <c r="A149" s="126"/>
      <c r="B149" s="127"/>
    </row>
    <row r="150" ht="336.0" customHeight="1">
      <c r="A150" s="126"/>
      <c r="B150" s="127"/>
    </row>
    <row r="151" ht="336.0" customHeight="1">
      <c r="A151" s="126"/>
      <c r="B151" s="127"/>
    </row>
    <row r="152" ht="336.0" customHeight="1">
      <c r="A152" s="126"/>
      <c r="B152" s="127"/>
    </row>
    <row r="153" ht="336.0" customHeight="1">
      <c r="A153" s="126"/>
      <c r="B153" s="127"/>
    </row>
    <row r="154" ht="336.0" customHeight="1">
      <c r="A154" s="126"/>
      <c r="B154" s="127"/>
    </row>
    <row r="155" ht="336.0" customHeight="1">
      <c r="A155" s="126"/>
      <c r="B155" s="127"/>
    </row>
    <row r="156" ht="336.0" customHeight="1">
      <c r="A156" s="126"/>
      <c r="B156" s="127"/>
    </row>
    <row r="157" ht="336.0" customHeight="1">
      <c r="A157" s="126"/>
      <c r="B157" s="127"/>
    </row>
    <row r="158" ht="336.0" customHeight="1">
      <c r="A158" s="126"/>
      <c r="B158" s="127"/>
    </row>
    <row r="159" ht="336.0" customHeight="1">
      <c r="A159" s="126"/>
      <c r="B159" s="127"/>
    </row>
    <row r="160" ht="336.0" customHeight="1">
      <c r="A160" s="126"/>
      <c r="B160" s="127"/>
    </row>
    <row r="161" ht="336.0" customHeight="1">
      <c r="A161" s="126"/>
      <c r="B161" s="127"/>
    </row>
    <row r="162" ht="336.0" customHeight="1">
      <c r="A162" s="126"/>
      <c r="B162" s="127"/>
    </row>
    <row r="163" ht="336.0" customHeight="1">
      <c r="A163" s="126"/>
      <c r="B163" s="127"/>
    </row>
    <row r="164" ht="336.0" customHeight="1">
      <c r="A164" s="126"/>
      <c r="B164" s="127"/>
    </row>
    <row r="165" ht="336.0" customHeight="1">
      <c r="A165" s="126"/>
      <c r="B165" s="127"/>
    </row>
    <row r="166" ht="336.0" customHeight="1">
      <c r="A166" s="126"/>
      <c r="B166" s="127"/>
    </row>
    <row r="167" ht="336.0" customHeight="1">
      <c r="A167" s="126"/>
      <c r="B167" s="127"/>
    </row>
    <row r="168" ht="336.0" customHeight="1">
      <c r="A168" s="126"/>
      <c r="B168" s="127"/>
    </row>
    <row r="169" ht="336.0" customHeight="1">
      <c r="A169" s="126"/>
      <c r="B169" s="127"/>
    </row>
    <row r="170" ht="336.0" customHeight="1">
      <c r="A170" s="126"/>
      <c r="B170" s="127"/>
    </row>
    <row r="171" ht="336.0" customHeight="1">
      <c r="A171" s="126"/>
      <c r="B171" s="127"/>
    </row>
    <row r="172" ht="336.0" customHeight="1">
      <c r="A172" s="126"/>
      <c r="B172" s="127"/>
    </row>
    <row r="173" ht="336.0" customHeight="1">
      <c r="A173" s="126"/>
      <c r="B173" s="127"/>
    </row>
    <row r="174" ht="336.0" customHeight="1">
      <c r="A174" s="126"/>
      <c r="B174" s="127"/>
    </row>
    <row r="175" ht="336.0" customHeight="1">
      <c r="A175" s="126"/>
      <c r="B175" s="127"/>
    </row>
    <row r="176" ht="336.0" customHeight="1">
      <c r="A176" s="126"/>
      <c r="B176" s="127"/>
    </row>
    <row r="177" ht="336.0" customHeight="1">
      <c r="A177" s="126"/>
      <c r="B177" s="127"/>
    </row>
    <row r="178" ht="336.0" customHeight="1">
      <c r="A178" s="126"/>
      <c r="B178" s="127"/>
    </row>
    <row r="179" ht="336.0" customHeight="1">
      <c r="A179" s="126"/>
      <c r="B179" s="127"/>
    </row>
    <row r="180" ht="336.0" customHeight="1">
      <c r="A180" s="126"/>
      <c r="B180" s="127"/>
    </row>
    <row r="181" ht="336.0" customHeight="1">
      <c r="A181" s="126"/>
      <c r="B181" s="127"/>
    </row>
    <row r="182" ht="336.0" customHeight="1">
      <c r="A182" s="126"/>
      <c r="B182" s="127"/>
    </row>
    <row r="183" ht="336.0" customHeight="1">
      <c r="A183" s="126"/>
      <c r="B183" s="127"/>
    </row>
    <row r="184" ht="336.0" customHeight="1">
      <c r="A184" s="126"/>
      <c r="B184" s="127"/>
    </row>
    <row r="185" ht="336.0" customHeight="1">
      <c r="A185" s="126"/>
      <c r="B185" s="127"/>
    </row>
    <row r="186" ht="336.0" customHeight="1">
      <c r="A186" s="126"/>
      <c r="B186" s="127"/>
    </row>
    <row r="187" ht="336.0" customHeight="1">
      <c r="A187" s="126"/>
      <c r="B187" s="127"/>
    </row>
    <row r="188" ht="336.0" customHeight="1">
      <c r="A188" s="126"/>
      <c r="B188" s="127"/>
    </row>
    <row r="189" ht="336.0" customHeight="1">
      <c r="A189" s="126"/>
      <c r="B189" s="127"/>
    </row>
    <row r="190" ht="336.0" customHeight="1">
      <c r="A190" s="126"/>
      <c r="B190" s="127"/>
    </row>
    <row r="191" ht="336.0" customHeight="1">
      <c r="A191" s="126"/>
      <c r="B191" s="127"/>
    </row>
    <row r="192" ht="336.0" customHeight="1">
      <c r="A192" s="126"/>
      <c r="B192" s="127"/>
    </row>
    <row r="193" ht="336.0" customHeight="1">
      <c r="A193" s="126"/>
      <c r="B193" s="127"/>
    </row>
    <row r="194" ht="336.0" customHeight="1">
      <c r="A194" s="126"/>
      <c r="B194" s="127"/>
    </row>
    <row r="195" ht="336.0" customHeight="1">
      <c r="A195" s="126"/>
      <c r="B195" s="127"/>
    </row>
    <row r="196" ht="336.0" customHeight="1">
      <c r="A196" s="126"/>
      <c r="B196" s="127"/>
    </row>
    <row r="197" ht="336.0" customHeight="1">
      <c r="A197" s="126"/>
      <c r="B197" s="127"/>
    </row>
    <row r="198" ht="336.0" customHeight="1">
      <c r="A198" s="126"/>
      <c r="B198" s="127"/>
    </row>
    <row r="199" ht="336.0" customHeight="1">
      <c r="A199" s="126"/>
      <c r="B199" s="127"/>
    </row>
    <row r="200" ht="336.0" customHeight="1">
      <c r="A200" s="126"/>
      <c r="B200" s="127"/>
    </row>
    <row r="201" ht="336.0" customHeight="1">
      <c r="A201" s="126"/>
      <c r="B201" s="127"/>
    </row>
    <row r="202" ht="336.0" customHeight="1">
      <c r="A202" s="126"/>
      <c r="B202" s="127"/>
    </row>
    <row r="203" ht="336.0" customHeight="1">
      <c r="A203" s="126"/>
      <c r="B203" s="127"/>
    </row>
    <row r="204" ht="336.0" customHeight="1">
      <c r="A204" s="126"/>
      <c r="B204" s="127"/>
    </row>
    <row r="205" ht="336.0" customHeight="1">
      <c r="A205" s="126"/>
      <c r="B205" s="127"/>
    </row>
    <row r="206" ht="336.0" customHeight="1">
      <c r="A206" s="126"/>
      <c r="B206" s="127"/>
    </row>
    <row r="207" ht="336.0" customHeight="1">
      <c r="A207" s="126"/>
      <c r="B207" s="127"/>
    </row>
    <row r="208" ht="336.0" customHeight="1">
      <c r="A208" s="126"/>
      <c r="B208" s="127"/>
    </row>
    <row r="209" ht="336.0" customHeight="1">
      <c r="A209" s="126"/>
      <c r="B209" s="127"/>
    </row>
    <row r="210" ht="336.0" customHeight="1">
      <c r="A210" s="126"/>
      <c r="B210" s="127"/>
    </row>
    <row r="211" ht="336.0" customHeight="1">
      <c r="A211" s="126"/>
      <c r="B211" s="127"/>
    </row>
    <row r="212" ht="336.0" customHeight="1">
      <c r="A212" s="126"/>
      <c r="B212" s="127"/>
    </row>
    <row r="213" ht="336.0" customHeight="1">
      <c r="A213" s="126"/>
      <c r="B213" s="127"/>
    </row>
    <row r="214" ht="336.0" customHeight="1">
      <c r="A214" s="126"/>
      <c r="B214" s="127"/>
    </row>
    <row r="215" ht="336.0" customHeight="1">
      <c r="A215" s="126"/>
      <c r="B215" s="127"/>
    </row>
    <row r="216" ht="336.0" customHeight="1">
      <c r="A216" s="126"/>
      <c r="B216" s="127"/>
    </row>
    <row r="217" ht="336.0" customHeight="1">
      <c r="A217" s="126"/>
      <c r="B217" s="127"/>
    </row>
    <row r="218" ht="336.0" customHeight="1">
      <c r="A218" s="126"/>
      <c r="B218" s="127"/>
    </row>
    <row r="219" ht="336.0" customHeight="1">
      <c r="A219" s="126"/>
      <c r="B219" s="127"/>
    </row>
    <row r="220" ht="336.0" customHeight="1">
      <c r="A220" s="126"/>
      <c r="B220" s="127"/>
    </row>
    <row r="221" ht="336.0" customHeight="1">
      <c r="A221" s="126"/>
      <c r="B221" s="127"/>
    </row>
    <row r="222" ht="336.0" customHeight="1">
      <c r="A222" s="126"/>
      <c r="B222" s="127"/>
    </row>
    <row r="223" ht="336.0" customHeight="1">
      <c r="A223" s="126"/>
      <c r="B223" s="127"/>
    </row>
    <row r="224" ht="336.0" customHeight="1">
      <c r="A224" s="126"/>
      <c r="B224" s="127"/>
    </row>
    <row r="225" ht="336.0" customHeight="1">
      <c r="A225" s="126"/>
      <c r="B225" s="127"/>
    </row>
    <row r="226" ht="336.0" customHeight="1">
      <c r="A226" s="126"/>
      <c r="B226" s="127"/>
    </row>
    <row r="227" ht="336.0" customHeight="1">
      <c r="A227" s="126"/>
      <c r="B227" s="127"/>
    </row>
    <row r="228" ht="336.0" customHeight="1">
      <c r="A228" s="126"/>
      <c r="B228" s="127"/>
    </row>
    <row r="229" ht="336.0" customHeight="1">
      <c r="A229" s="126"/>
      <c r="B229" s="127"/>
    </row>
    <row r="230" ht="336.0" customHeight="1">
      <c r="A230" s="126"/>
      <c r="B230" s="127"/>
    </row>
    <row r="231" ht="336.0" customHeight="1">
      <c r="A231" s="126"/>
      <c r="B231" s="127"/>
    </row>
    <row r="232" ht="336.0" customHeight="1">
      <c r="A232" s="126"/>
      <c r="B232" s="127"/>
    </row>
    <row r="233" ht="336.0" customHeight="1">
      <c r="A233" s="126"/>
      <c r="B233" s="127"/>
    </row>
    <row r="234" ht="336.0" customHeight="1">
      <c r="A234" s="126"/>
      <c r="B234" s="127"/>
    </row>
    <row r="235" ht="336.0" customHeight="1">
      <c r="A235" s="126"/>
      <c r="B235" s="127"/>
    </row>
    <row r="236" ht="336.0" customHeight="1">
      <c r="A236" s="126"/>
      <c r="B236" s="127"/>
    </row>
    <row r="237" ht="336.0" customHeight="1">
      <c r="A237" s="126"/>
      <c r="B237" s="127"/>
    </row>
    <row r="238" ht="336.0" customHeight="1">
      <c r="A238" s="126"/>
      <c r="B238" s="127"/>
    </row>
    <row r="239" ht="336.0" customHeight="1">
      <c r="A239" s="126"/>
      <c r="B239" s="127"/>
    </row>
    <row r="240" ht="336.0" customHeight="1">
      <c r="A240" s="126"/>
      <c r="B240" s="127"/>
    </row>
    <row r="241" ht="336.0" customHeight="1">
      <c r="A241" s="126"/>
      <c r="B241" s="127"/>
    </row>
    <row r="242" ht="336.0" customHeight="1">
      <c r="A242" s="126"/>
      <c r="B242" s="127"/>
    </row>
    <row r="243" ht="336.0" customHeight="1">
      <c r="A243" s="126"/>
      <c r="B243" s="127"/>
    </row>
    <row r="244" ht="336.0" customHeight="1">
      <c r="A244" s="126"/>
      <c r="B244" s="127"/>
    </row>
    <row r="245" ht="336.0" customHeight="1">
      <c r="A245" s="126"/>
      <c r="B245" s="127"/>
    </row>
    <row r="246" ht="336.0" customHeight="1">
      <c r="A246" s="126"/>
      <c r="B246" s="127"/>
    </row>
    <row r="247" ht="336.0" customHeight="1">
      <c r="A247" s="126"/>
      <c r="B247" s="127"/>
    </row>
    <row r="248" ht="336.0" customHeight="1">
      <c r="A248" s="126"/>
      <c r="B248" s="127"/>
    </row>
    <row r="249" ht="336.0" customHeight="1">
      <c r="A249" s="126"/>
      <c r="B249" s="127"/>
    </row>
    <row r="250" ht="336.0" customHeight="1">
      <c r="A250" s="126"/>
      <c r="B250" s="127"/>
    </row>
    <row r="251" ht="336.0" customHeight="1">
      <c r="A251" s="126"/>
      <c r="B251" s="127"/>
    </row>
    <row r="252" ht="336.0" customHeight="1">
      <c r="A252" s="126"/>
      <c r="B252" s="127"/>
    </row>
    <row r="253" ht="336.0" customHeight="1">
      <c r="A253" s="126"/>
      <c r="B253" s="127"/>
    </row>
    <row r="254" ht="336.0" customHeight="1">
      <c r="A254" s="126"/>
      <c r="B254" s="127"/>
    </row>
    <row r="255" ht="336.0" customHeight="1">
      <c r="A255" s="126"/>
      <c r="B255" s="127"/>
    </row>
    <row r="256" ht="336.0" customHeight="1">
      <c r="A256" s="126"/>
      <c r="B256" s="127"/>
    </row>
    <row r="257" ht="336.0" customHeight="1">
      <c r="A257" s="126"/>
      <c r="B257" s="127"/>
    </row>
    <row r="258" ht="336.0" customHeight="1">
      <c r="A258" s="126"/>
      <c r="B258" s="127"/>
    </row>
    <row r="259" ht="336.0" customHeight="1">
      <c r="A259" s="126"/>
      <c r="B259" s="127"/>
    </row>
    <row r="260" ht="336.0" customHeight="1">
      <c r="A260" s="126"/>
      <c r="B260" s="127"/>
    </row>
    <row r="261" ht="336.0" customHeight="1">
      <c r="A261" s="126"/>
      <c r="B261" s="127"/>
    </row>
    <row r="262" ht="336.0" customHeight="1">
      <c r="A262" s="126"/>
      <c r="B262" s="127"/>
    </row>
    <row r="263" ht="336.0" customHeight="1">
      <c r="A263" s="126"/>
      <c r="B263" s="127"/>
    </row>
    <row r="264" ht="336.0" customHeight="1">
      <c r="A264" s="126"/>
      <c r="B264" s="127"/>
    </row>
    <row r="265" ht="336.0" customHeight="1">
      <c r="A265" s="126"/>
      <c r="B265" s="127"/>
    </row>
    <row r="266" ht="336.0" customHeight="1">
      <c r="A266" s="126"/>
      <c r="B266" s="127"/>
    </row>
    <row r="267" ht="336.0" customHeight="1">
      <c r="A267" s="126"/>
      <c r="B267" s="127"/>
    </row>
    <row r="268" ht="336.0" customHeight="1">
      <c r="A268" s="126"/>
      <c r="B268" s="127"/>
    </row>
    <row r="269" ht="336.0" customHeight="1">
      <c r="A269" s="126"/>
      <c r="B269" s="127"/>
    </row>
    <row r="270" ht="336.0" customHeight="1">
      <c r="A270" s="126"/>
      <c r="B270" s="127"/>
    </row>
    <row r="271" ht="336.0" customHeight="1">
      <c r="A271" s="126"/>
      <c r="B271" s="127"/>
    </row>
    <row r="272" ht="336.0" customHeight="1">
      <c r="A272" s="126"/>
      <c r="B272" s="127"/>
    </row>
    <row r="273" ht="336.0" customHeight="1">
      <c r="A273" s="126"/>
      <c r="B273" s="127"/>
    </row>
    <row r="274" ht="336.0" customHeight="1">
      <c r="A274" s="126"/>
      <c r="B274" s="127"/>
    </row>
    <row r="275" ht="336.0" customHeight="1">
      <c r="A275" s="126"/>
      <c r="B275" s="127"/>
    </row>
    <row r="276" ht="336.0" customHeight="1">
      <c r="A276" s="126"/>
      <c r="B276" s="127"/>
    </row>
    <row r="277" ht="336.0" customHeight="1">
      <c r="A277" s="126"/>
      <c r="B277" s="127"/>
    </row>
    <row r="278" ht="336.0" customHeight="1">
      <c r="A278" s="126"/>
      <c r="B278" s="127"/>
    </row>
    <row r="279" ht="336.0" customHeight="1">
      <c r="A279" s="126"/>
      <c r="B279" s="127"/>
    </row>
    <row r="280" ht="336.0" customHeight="1">
      <c r="A280" s="126"/>
      <c r="B280" s="127"/>
    </row>
    <row r="281" ht="336.0" customHeight="1">
      <c r="A281" s="126"/>
      <c r="B281" s="127"/>
    </row>
    <row r="282" ht="336.0" customHeight="1">
      <c r="A282" s="126"/>
      <c r="B282" s="127"/>
    </row>
    <row r="283" ht="336.0" customHeight="1">
      <c r="A283" s="126"/>
      <c r="B283" s="127"/>
    </row>
    <row r="284" ht="336.0" customHeight="1">
      <c r="A284" s="126"/>
      <c r="B284" s="127"/>
    </row>
    <row r="285" ht="336.0" customHeight="1">
      <c r="A285" s="126"/>
      <c r="B285" s="127"/>
    </row>
    <row r="286" ht="336.0" customHeight="1">
      <c r="A286" s="126"/>
      <c r="B286" s="127"/>
    </row>
    <row r="287" ht="336.0" customHeight="1">
      <c r="A287" s="126"/>
      <c r="B287" s="127"/>
    </row>
    <row r="288" ht="336.0" customHeight="1">
      <c r="A288" s="126"/>
      <c r="B288" s="127"/>
    </row>
    <row r="289" ht="336.0" customHeight="1">
      <c r="A289" s="126"/>
      <c r="B289" s="127"/>
    </row>
    <row r="290" ht="336.0" customHeight="1">
      <c r="A290" s="126"/>
      <c r="B290" s="127"/>
    </row>
    <row r="291" ht="336.0" customHeight="1">
      <c r="A291" s="126"/>
      <c r="B291" s="127"/>
    </row>
    <row r="292" ht="336.0" customHeight="1">
      <c r="A292" s="126"/>
      <c r="B292" s="127"/>
    </row>
    <row r="293" ht="336.0" customHeight="1">
      <c r="A293" s="126"/>
      <c r="B293" s="127"/>
    </row>
    <row r="294" ht="336.0" customHeight="1">
      <c r="A294" s="126"/>
      <c r="B294" s="127"/>
    </row>
    <row r="295" ht="336.0" customHeight="1">
      <c r="A295" s="126"/>
      <c r="B295" s="127"/>
    </row>
    <row r="296" ht="336.0" customHeight="1">
      <c r="A296" s="126"/>
      <c r="B296" s="127"/>
    </row>
    <row r="297" ht="336.0" customHeight="1">
      <c r="A297" s="126"/>
      <c r="B297" s="127"/>
    </row>
    <row r="298" ht="336.0" customHeight="1">
      <c r="A298" s="126"/>
      <c r="B298" s="127"/>
    </row>
    <row r="299" ht="336.0" customHeight="1">
      <c r="A299" s="126"/>
      <c r="B299" s="127"/>
    </row>
    <row r="300" ht="336.0" customHeight="1">
      <c r="A300" s="126"/>
      <c r="B300" s="127"/>
    </row>
    <row r="301" ht="336.0" customHeight="1">
      <c r="A301" s="126"/>
      <c r="B301" s="127"/>
    </row>
    <row r="302" ht="336.0" customHeight="1">
      <c r="A302" s="126"/>
      <c r="B302" s="127"/>
    </row>
    <row r="303" ht="336.0" customHeight="1">
      <c r="A303" s="126"/>
      <c r="B303" s="127"/>
    </row>
    <row r="304" ht="336.0" customHeight="1">
      <c r="A304" s="126"/>
      <c r="B304" s="127"/>
    </row>
    <row r="305" ht="336.0" customHeight="1">
      <c r="A305" s="126"/>
      <c r="B305" s="127"/>
    </row>
    <row r="306" ht="336.0" customHeight="1">
      <c r="A306" s="126"/>
      <c r="B306" s="127"/>
    </row>
    <row r="307" ht="336.0" customHeight="1">
      <c r="A307" s="126"/>
      <c r="B307" s="127"/>
    </row>
    <row r="308" ht="336.0" customHeight="1">
      <c r="A308" s="126"/>
      <c r="B308" s="127"/>
    </row>
    <row r="309" ht="336.0" customHeight="1">
      <c r="A309" s="126"/>
      <c r="B309" s="127"/>
    </row>
    <row r="310" ht="336.0" customHeight="1">
      <c r="A310" s="126"/>
      <c r="B310" s="127"/>
    </row>
    <row r="311" ht="336.0" customHeight="1">
      <c r="A311" s="126"/>
      <c r="B311" s="127"/>
    </row>
    <row r="312" ht="336.0" customHeight="1">
      <c r="A312" s="126"/>
      <c r="B312" s="127"/>
    </row>
    <row r="313" ht="336.0" customHeight="1">
      <c r="A313" s="126"/>
      <c r="B313" s="127"/>
    </row>
    <row r="314" ht="336.0" customHeight="1">
      <c r="A314" s="126"/>
      <c r="B314" s="127"/>
    </row>
    <row r="315" ht="336.0" customHeight="1">
      <c r="A315" s="126"/>
      <c r="B315" s="127"/>
    </row>
    <row r="316" ht="336.0" customHeight="1">
      <c r="A316" s="126"/>
      <c r="B316" s="127"/>
    </row>
    <row r="317" ht="336.0" customHeight="1">
      <c r="A317" s="126"/>
      <c r="B317" s="127"/>
    </row>
    <row r="318" ht="336.0" customHeight="1">
      <c r="A318" s="126"/>
      <c r="B318" s="127"/>
    </row>
    <row r="319" ht="336.0" customHeight="1">
      <c r="A319" s="126"/>
      <c r="B319" s="127"/>
    </row>
    <row r="320" ht="336.0" customHeight="1">
      <c r="A320" s="126"/>
      <c r="B320" s="127"/>
    </row>
    <row r="321" ht="336.0" customHeight="1">
      <c r="A321" s="126"/>
      <c r="B321" s="127"/>
    </row>
    <row r="322" ht="336.0" customHeight="1">
      <c r="A322" s="126"/>
      <c r="B322" s="127"/>
    </row>
    <row r="323" ht="336.0" customHeight="1">
      <c r="A323" s="126"/>
      <c r="B323" s="127"/>
    </row>
    <row r="324" ht="336.0" customHeight="1">
      <c r="A324" s="126"/>
      <c r="B324" s="127"/>
    </row>
    <row r="325" ht="336.0" customHeight="1">
      <c r="A325" s="126"/>
      <c r="B325" s="127"/>
    </row>
    <row r="326" ht="336.0" customHeight="1">
      <c r="A326" s="126"/>
      <c r="B326" s="127"/>
    </row>
    <row r="327" ht="336.0" customHeight="1">
      <c r="A327" s="126"/>
      <c r="B327" s="127"/>
    </row>
    <row r="328" ht="336.0" customHeight="1">
      <c r="A328" s="126"/>
      <c r="B328" s="127"/>
    </row>
    <row r="329" ht="336.0" customHeight="1">
      <c r="A329" s="126"/>
      <c r="B329" s="127"/>
    </row>
    <row r="330" ht="336.0" customHeight="1">
      <c r="A330" s="126"/>
      <c r="B330" s="127"/>
    </row>
    <row r="331" ht="336.0" customHeight="1">
      <c r="A331" s="126"/>
      <c r="B331" s="127"/>
    </row>
    <row r="332" ht="336.0" customHeight="1">
      <c r="A332" s="126"/>
      <c r="B332" s="127"/>
    </row>
    <row r="333" ht="336.0" customHeight="1">
      <c r="A333" s="126"/>
      <c r="B333" s="127"/>
    </row>
    <row r="334" ht="336.0" customHeight="1">
      <c r="A334" s="126"/>
      <c r="B334" s="127"/>
    </row>
    <row r="335" ht="336.0" customHeight="1">
      <c r="A335" s="126"/>
      <c r="B335" s="127"/>
    </row>
    <row r="336" ht="336.0" customHeight="1">
      <c r="A336" s="126"/>
      <c r="B336" s="127"/>
    </row>
    <row r="337" ht="336.0" customHeight="1">
      <c r="A337" s="126"/>
      <c r="B337" s="127"/>
    </row>
    <row r="338" ht="336.0" customHeight="1">
      <c r="A338" s="126"/>
      <c r="B338" s="127"/>
    </row>
    <row r="339" ht="336.0" customHeight="1">
      <c r="A339" s="126"/>
      <c r="B339" s="127"/>
    </row>
    <row r="340" ht="336.0" customHeight="1">
      <c r="A340" s="126"/>
      <c r="B340" s="127"/>
    </row>
    <row r="341" ht="336.0" customHeight="1">
      <c r="A341" s="126"/>
      <c r="B341" s="127"/>
    </row>
    <row r="342" ht="336.0" customHeight="1">
      <c r="A342" s="126"/>
      <c r="B342" s="127"/>
    </row>
    <row r="343" ht="336.0" customHeight="1">
      <c r="A343" s="126"/>
      <c r="B343" s="127"/>
    </row>
    <row r="344" ht="336.0" customHeight="1">
      <c r="A344" s="126"/>
      <c r="B344" s="127"/>
    </row>
    <row r="345" ht="336.0" customHeight="1">
      <c r="A345" s="126"/>
      <c r="B345" s="127"/>
    </row>
    <row r="346" ht="336.0" customHeight="1">
      <c r="A346" s="126"/>
      <c r="B346" s="127"/>
    </row>
    <row r="347" ht="336.0" customHeight="1">
      <c r="A347" s="126"/>
      <c r="B347" s="127"/>
    </row>
    <row r="348" ht="336.0" customHeight="1">
      <c r="A348" s="126"/>
      <c r="B348" s="127"/>
    </row>
    <row r="349" ht="336.0" customHeight="1">
      <c r="A349" s="126"/>
      <c r="B349" s="127"/>
    </row>
    <row r="350" ht="336.0" customHeight="1">
      <c r="A350" s="126"/>
      <c r="B350" s="127"/>
    </row>
    <row r="351" ht="336.0" customHeight="1">
      <c r="A351" s="126"/>
      <c r="B351" s="127"/>
    </row>
    <row r="352" ht="336.0" customHeight="1">
      <c r="A352" s="126"/>
      <c r="B352" s="127"/>
    </row>
    <row r="353" ht="336.0" customHeight="1">
      <c r="A353" s="126"/>
      <c r="B353" s="127"/>
    </row>
    <row r="354" ht="336.0" customHeight="1">
      <c r="A354" s="126"/>
      <c r="B354" s="127"/>
    </row>
    <row r="355" ht="336.0" customHeight="1">
      <c r="A355" s="126"/>
      <c r="B355" s="127"/>
    </row>
    <row r="356" ht="336.0" customHeight="1">
      <c r="A356" s="126"/>
      <c r="B356" s="127"/>
    </row>
    <row r="357" ht="336.0" customHeight="1">
      <c r="A357" s="126"/>
      <c r="B357" s="127"/>
    </row>
    <row r="358" ht="336.0" customHeight="1">
      <c r="A358" s="126"/>
      <c r="B358" s="127"/>
    </row>
    <row r="359" ht="336.0" customHeight="1">
      <c r="A359" s="126"/>
      <c r="B359" s="127"/>
    </row>
    <row r="360" ht="336.0" customHeight="1">
      <c r="A360" s="126"/>
      <c r="B360" s="127"/>
    </row>
    <row r="361" ht="336.0" customHeight="1">
      <c r="A361" s="126"/>
      <c r="B361" s="127"/>
    </row>
    <row r="362" ht="336.0" customHeight="1">
      <c r="A362" s="126"/>
      <c r="B362" s="127"/>
    </row>
    <row r="363" ht="336.0" customHeight="1">
      <c r="A363" s="126"/>
      <c r="B363" s="127"/>
    </row>
    <row r="364" ht="336.0" customHeight="1">
      <c r="A364" s="126"/>
      <c r="B364" s="127"/>
    </row>
    <row r="365" ht="336.0" customHeight="1">
      <c r="A365" s="126"/>
      <c r="B365" s="127"/>
    </row>
    <row r="366" ht="336.0" customHeight="1">
      <c r="A366" s="126"/>
      <c r="B366" s="127"/>
    </row>
    <row r="367" ht="336.0" customHeight="1">
      <c r="A367" s="126"/>
      <c r="B367" s="127"/>
    </row>
    <row r="368" ht="336.0" customHeight="1">
      <c r="A368" s="126"/>
      <c r="B368" s="127"/>
    </row>
    <row r="369" ht="336.0" customHeight="1">
      <c r="A369" s="126"/>
      <c r="B369" s="127"/>
    </row>
    <row r="370" ht="336.0" customHeight="1">
      <c r="A370" s="126"/>
      <c r="B370" s="127"/>
    </row>
    <row r="371" ht="336.0" customHeight="1">
      <c r="A371" s="126"/>
      <c r="B371" s="127"/>
    </row>
    <row r="372" ht="336.0" customHeight="1">
      <c r="A372" s="126"/>
      <c r="B372" s="127"/>
    </row>
    <row r="373" ht="336.0" customHeight="1">
      <c r="A373" s="126"/>
      <c r="B373" s="127"/>
    </row>
    <row r="374" ht="336.0" customHeight="1">
      <c r="A374" s="126"/>
      <c r="B374" s="127"/>
    </row>
    <row r="375" ht="336.0" customHeight="1">
      <c r="A375" s="126"/>
      <c r="B375" s="127"/>
    </row>
    <row r="376" ht="336.0" customHeight="1">
      <c r="A376" s="126"/>
      <c r="B376" s="127"/>
    </row>
    <row r="377" ht="336.0" customHeight="1">
      <c r="A377" s="126"/>
      <c r="B377" s="127"/>
    </row>
    <row r="378" ht="336.0" customHeight="1">
      <c r="A378" s="126"/>
      <c r="B378" s="127"/>
    </row>
    <row r="379" ht="336.0" customHeight="1">
      <c r="A379" s="126"/>
      <c r="B379" s="127"/>
    </row>
    <row r="380" ht="336.0" customHeight="1">
      <c r="A380" s="126"/>
      <c r="B380" s="127"/>
    </row>
    <row r="381" ht="336.0" customHeight="1">
      <c r="A381" s="126"/>
      <c r="B381" s="127"/>
    </row>
    <row r="382" ht="336.0" customHeight="1">
      <c r="A382" s="126"/>
      <c r="B382" s="127"/>
    </row>
    <row r="383" ht="336.0" customHeight="1">
      <c r="A383" s="126"/>
      <c r="B383" s="127"/>
    </row>
    <row r="384" ht="336.0" customHeight="1">
      <c r="A384" s="126"/>
      <c r="B384" s="127"/>
    </row>
    <row r="385" ht="336.0" customHeight="1">
      <c r="A385" s="126"/>
      <c r="B385" s="127"/>
    </row>
    <row r="386" ht="336.0" customHeight="1">
      <c r="A386" s="126"/>
      <c r="B386" s="127"/>
    </row>
    <row r="387" ht="336.0" customHeight="1">
      <c r="A387" s="126"/>
      <c r="B387" s="127"/>
    </row>
    <row r="388" ht="336.0" customHeight="1">
      <c r="A388" s="126"/>
      <c r="B388" s="127"/>
    </row>
    <row r="389" ht="336.0" customHeight="1">
      <c r="A389" s="126"/>
      <c r="B389" s="127"/>
    </row>
    <row r="390" ht="336.0" customHeight="1">
      <c r="A390" s="126"/>
      <c r="B390" s="127"/>
    </row>
    <row r="391" ht="336.0" customHeight="1">
      <c r="A391" s="126"/>
      <c r="B391" s="127"/>
    </row>
    <row r="392" ht="336.0" customHeight="1">
      <c r="A392" s="126"/>
      <c r="B392" s="127"/>
    </row>
    <row r="393" ht="336.0" customHeight="1">
      <c r="A393" s="126"/>
      <c r="B393" s="127"/>
    </row>
    <row r="394" ht="336.0" customHeight="1">
      <c r="A394" s="126"/>
      <c r="B394" s="127"/>
    </row>
    <row r="395" ht="336.0" customHeight="1">
      <c r="A395" s="126"/>
      <c r="B395" s="127"/>
    </row>
    <row r="396" ht="336.0" customHeight="1">
      <c r="A396" s="126"/>
      <c r="B396" s="127"/>
    </row>
    <row r="397" ht="336.0" customHeight="1">
      <c r="A397" s="126"/>
      <c r="B397" s="127"/>
    </row>
    <row r="398" ht="336.0" customHeight="1">
      <c r="A398" s="126"/>
      <c r="B398" s="127"/>
    </row>
    <row r="399" ht="336.0" customHeight="1">
      <c r="A399" s="126"/>
      <c r="B399" s="127"/>
    </row>
    <row r="400" ht="336.0" customHeight="1">
      <c r="A400" s="126"/>
      <c r="B400" s="127"/>
    </row>
    <row r="401" ht="336.0" customHeight="1">
      <c r="A401" s="126"/>
      <c r="B401" s="127"/>
    </row>
    <row r="402" ht="336.0" customHeight="1">
      <c r="A402" s="126"/>
      <c r="B402" s="127"/>
    </row>
    <row r="403" ht="336.0" customHeight="1">
      <c r="A403" s="126"/>
      <c r="B403" s="127"/>
    </row>
    <row r="404" ht="336.0" customHeight="1">
      <c r="A404" s="126"/>
      <c r="B404" s="127"/>
    </row>
    <row r="405" ht="336.0" customHeight="1">
      <c r="A405" s="126"/>
      <c r="B405" s="127"/>
    </row>
    <row r="406" ht="336.0" customHeight="1">
      <c r="A406" s="126"/>
      <c r="B406" s="127"/>
    </row>
    <row r="407" ht="336.0" customHeight="1">
      <c r="A407" s="126"/>
      <c r="B407" s="127"/>
    </row>
    <row r="408" ht="336.0" customHeight="1">
      <c r="A408" s="126"/>
      <c r="B408" s="127"/>
    </row>
    <row r="409" ht="336.0" customHeight="1">
      <c r="A409" s="126"/>
      <c r="B409" s="127"/>
    </row>
    <row r="410" ht="336.0" customHeight="1">
      <c r="A410" s="126"/>
      <c r="B410" s="127"/>
    </row>
    <row r="411" ht="336.0" customHeight="1">
      <c r="A411" s="126"/>
      <c r="B411" s="127"/>
    </row>
    <row r="412" ht="336.0" customHeight="1">
      <c r="A412" s="126"/>
      <c r="B412" s="127"/>
    </row>
    <row r="413" ht="336.0" customHeight="1">
      <c r="A413" s="126"/>
      <c r="B413" s="127"/>
    </row>
    <row r="414" ht="336.0" customHeight="1">
      <c r="A414" s="126"/>
      <c r="B414" s="127"/>
    </row>
    <row r="415" ht="336.0" customHeight="1">
      <c r="A415" s="126"/>
      <c r="B415" s="127"/>
    </row>
    <row r="416" ht="336.0" customHeight="1">
      <c r="A416" s="126"/>
      <c r="B416" s="127"/>
    </row>
    <row r="417" ht="336.0" customHeight="1">
      <c r="A417" s="126"/>
      <c r="B417" s="127"/>
    </row>
    <row r="418" ht="336.0" customHeight="1">
      <c r="A418" s="126"/>
      <c r="B418" s="127"/>
    </row>
    <row r="419" ht="336.0" customHeight="1">
      <c r="A419" s="126"/>
      <c r="B419" s="127"/>
    </row>
    <row r="420" ht="336.0" customHeight="1">
      <c r="A420" s="126"/>
      <c r="B420" s="127"/>
    </row>
    <row r="421" ht="336.0" customHeight="1">
      <c r="A421" s="126"/>
      <c r="B421" s="127"/>
    </row>
    <row r="422" ht="336.0" customHeight="1">
      <c r="A422" s="126"/>
      <c r="B422" s="127"/>
    </row>
    <row r="423" ht="336.0" customHeight="1">
      <c r="A423" s="126"/>
      <c r="B423" s="127"/>
    </row>
    <row r="424" ht="336.0" customHeight="1">
      <c r="A424" s="126"/>
      <c r="B424" s="127"/>
    </row>
    <row r="425" ht="336.0" customHeight="1">
      <c r="A425" s="126"/>
      <c r="B425" s="127"/>
    </row>
    <row r="426" ht="336.0" customHeight="1">
      <c r="A426" s="126"/>
      <c r="B426" s="127"/>
    </row>
    <row r="427" ht="336.0" customHeight="1">
      <c r="A427" s="126"/>
      <c r="B427" s="127"/>
    </row>
    <row r="428" ht="336.0" customHeight="1">
      <c r="A428" s="126"/>
      <c r="B428" s="127"/>
    </row>
    <row r="429" ht="336.0" customHeight="1">
      <c r="A429" s="126"/>
      <c r="B429" s="127"/>
    </row>
    <row r="430" ht="336.0" customHeight="1">
      <c r="A430" s="126"/>
      <c r="B430" s="127"/>
    </row>
    <row r="431" ht="336.0" customHeight="1">
      <c r="A431" s="126"/>
      <c r="B431" s="127"/>
    </row>
    <row r="432" ht="336.0" customHeight="1">
      <c r="A432" s="126"/>
      <c r="B432" s="127"/>
    </row>
    <row r="433" ht="336.0" customHeight="1">
      <c r="A433" s="126"/>
      <c r="B433" s="127"/>
    </row>
    <row r="434" ht="336.0" customHeight="1">
      <c r="A434" s="126"/>
      <c r="B434" s="127"/>
    </row>
    <row r="435" ht="336.0" customHeight="1">
      <c r="A435" s="126"/>
      <c r="B435" s="127"/>
    </row>
    <row r="436" ht="336.0" customHeight="1">
      <c r="A436" s="126"/>
      <c r="B436" s="127"/>
    </row>
    <row r="437" ht="336.0" customHeight="1">
      <c r="A437" s="126"/>
      <c r="B437" s="127"/>
    </row>
    <row r="438" ht="336.0" customHeight="1">
      <c r="A438" s="126"/>
      <c r="B438" s="127"/>
    </row>
    <row r="439" ht="336.0" customHeight="1">
      <c r="A439" s="126"/>
      <c r="B439" s="127"/>
    </row>
    <row r="440" ht="336.0" customHeight="1">
      <c r="A440" s="126"/>
      <c r="B440" s="127"/>
    </row>
    <row r="441" ht="336.0" customHeight="1">
      <c r="A441" s="126"/>
      <c r="B441" s="127"/>
    </row>
    <row r="442" ht="336.0" customHeight="1">
      <c r="A442" s="126"/>
      <c r="B442" s="127"/>
    </row>
    <row r="443" ht="336.0" customHeight="1">
      <c r="A443" s="126"/>
      <c r="B443" s="127"/>
    </row>
    <row r="444" ht="336.0" customHeight="1">
      <c r="A444" s="126"/>
      <c r="B444" s="127"/>
    </row>
    <row r="445" ht="336.0" customHeight="1">
      <c r="A445" s="126"/>
      <c r="B445" s="127"/>
    </row>
    <row r="446" ht="336.0" customHeight="1">
      <c r="A446" s="126"/>
      <c r="B446" s="127"/>
    </row>
    <row r="447" ht="336.0" customHeight="1">
      <c r="A447" s="126"/>
      <c r="B447" s="127"/>
    </row>
    <row r="448" ht="336.0" customHeight="1">
      <c r="A448" s="126"/>
      <c r="B448" s="127"/>
    </row>
    <row r="449" ht="336.0" customHeight="1">
      <c r="A449" s="126"/>
      <c r="B449" s="127"/>
    </row>
    <row r="450" ht="336.0" customHeight="1">
      <c r="A450" s="126"/>
      <c r="B450" s="127"/>
    </row>
    <row r="451" ht="336.0" customHeight="1">
      <c r="A451" s="126"/>
      <c r="B451" s="127"/>
    </row>
    <row r="452" ht="336.0" customHeight="1">
      <c r="A452" s="126"/>
      <c r="B452" s="127"/>
    </row>
    <row r="453" ht="336.0" customHeight="1">
      <c r="A453" s="126"/>
      <c r="B453" s="127"/>
    </row>
    <row r="454" ht="336.0" customHeight="1">
      <c r="A454" s="126"/>
      <c r="B454" s="127"/>
    </row>
    <row r="455" ht="336.0" customHeight="1">
      <c r="A455" s="126"/>
      <c r="B455" s="127"/>
    </row>
    <row r="456" ht="336.0" customHeight="1">
      <c r="A456" s="126"/>
      <c r="B456" s="127"/>
    </row>
    <row r="457" ht="336.0" customHeight="1">
      <c r="A457" s="126"/>
      <c r="B457" s="127"/>
    </row>
    <row r="458" ht="336.0" customHeight="1">
      <c r="A458" s="126"/>
      <c r="B458" s="127"/>
    </row>
    <row r="459" ht="336.0" customHeight="1">
      <c r="A459" s="126"/>
      <c r="B459" s="127"/>
    </row>
    <row r="460" ht="336.0" customHeight="1">
      <c r="A460" s="126"/>
      <c r="B460" s="127"/>
    </row>
    <row r="461" ht="336.0" customHeight="1">
      <c r="A461" s="126"/>
      <c r="B461" s="127"/>
    </row>
    <row r="462" ht="336.0" customHeight="1">
      <c r="A462" s="126"/>
      <c r="B462" s="127"/>
    </row>
    <row r="463" ht="336.0" customHeight="1">
      <c r="A463" s="126"/>
      <c r="B463" s="127"/>
    </row>
    <row r="464" ht="336.0" customHeight="1">
      <c r="A464" s="126"/>
      <c r="B464" s="127"/>
    </row>
    <row r="465" ht="336.0" customHeight="1">
      <c r="A465" s="126"/>
      <c r="B465" s="127"/>
    </row>
    <row r="466" ht="336.0" customHeight="1">
      <c r="A466" s="126"/>
      <c r="B466" s="127"/>
    </row>
    <row r="467" ht="336.0" customHeight="1">
      <c r="A467" s="126"/>
      <c r="B467" s="127"/>
    </row>
    <row r="468" ht="336.0" customHeight="1">
      <c r="A468" s="126"/>
      <c r="B468" s="127"/>
    </row>
    <row r="469" ht="336.0" customHeight="1">
      <c r="A469" s="126"/>
      <c r="B469" s="127"/>
    </row>
    <row r="470" ht="336.0" customHeight="1">
      <c r="A470" s="126"/>
      <c r="B470" s="127"/>
    </row>
    <row r="471" ht="336.0" customHeight="1">
      <c r="A471" s="126"/>
      <c r="B471" s="127"/>
    </row>
    <row r="472" ht="336.0" customHeight="1">
      <c r="A472" s="126"/>
      <c r="B472" s="127"/>
    </row>
    <row r="473" ht="336.0" customHeight="1">
      <c r="A473" s="126"/>
      <c r="B473" s="127"/>
    </row>
    <row r="474" ht="336.0" customHeight="1">
      <c r="A474" s="126"/>
      <c r="B474" s="127"/>
    </row>
    <row r="475" ht="336.0" customHeight="1">
      <c r="A475" s="126"/>
      <c r="B475" s="127"/>
    </row>
    <row r="476" ht="336.0" customHeight="1">
      <c r="A476" s="126"/>
      <c r="B476" s="127"/>
    </row>
    <row r="477" ht="336.0" customHeight="1">
      <c r="A477" s="126"/>
      <c r="B477" s="127"/>
    </row>
    <row r="478" ht="336.0" customHeight="1">
      <c r="A478" s="126"/>
      <c r="B478" s="127"/>
    </row>
    <row r="479" ht="336.0" customHeight="1">
      <c r="A479" s="126"/>
      <c r="B479" s="127"/>
    </row>
    <row r="480" ht="336.0" customHeight="1">
      <c r="A480" s="126"/>
      <c r="B480" s="127"/>
    </row>
    <row r="481" ht="336.0" customHeight="1">
      <c r="A481" s="126"/>
      <c r="B481" s="127"/>
    </row>
    <row r="482" ht="336.0" customHeight="1">
      <c r="A482" s="126"/>
      <c r="B482" s="127"/>
    </row>
    <row r="483" ht="336.0" customHeight="1">
      <c r="A483" s="126"/>
      <c r="B483" s="127"/>
    </row>
    <row r="484" ht="336.0" customHeight="1">
      <c r="A484" s="126"/>
      <c r="B484" s="127"/>
    </row>
    <row r="485" ht="336.0" customHeight="1">
      <c r="A485" s="126"/>
      <c r="B485" s="127"/>
    </row>
    <row r="486" ht="336.0" customHeight="1">
      <c r="A486" s="126"/>
      <c r="B486" s="127"/>
    </row>
    <row r="487" ht="336.0" customHeight="1">
      <c r="A487" s="126"/>
      <c r="B487" s="127"/>
    </row>
    <row r="488" ht="336.0" customHeight="1">
      <c r="A488" s="126"/>
      <c r="B488" s="127"/>
    </row>
    <row r="489" ht="336.0" customHeight="1">
      <c r="A489" s="126"/>
      <c r="B489" s="127"/>
    </row>
    <row r="490" ht="336.0" customHeight="1">
      <c r="A490" s="126"/>
      <c r="B490" s="127"/>
    </row>
    <row r="491" ht="336.0" customHeight="1">
      <c r="A491" s="126"/>
      <c r="B491" s="127"/>
    </row>
    <row r="492" ht="336.0" customHeight="1">
      <c r="A492" s="126"/>
      <c r="B492" s="127"/>
    </row>
    <row r="493" ht="336.0" customHeight="1">
      <c r="A493" s="126"/>
      <c r="B493" s="127"/>
    </row>
    <row r="494" ht="336.0" customHeight="1">
      <c r="A494" s="126"/>
      <c r="B494" s="127"/>
    </row>
    <row r="495" ht="336.0" customHeight="1">
      <c r="A495" s="126"/>
      <c r="B495" s="127"/>
    </row>
    <row r="496" ht="336.0" customHeight="1">
      <c r="A496" s="126"/>
      <c r="B496" s="127"/>
    </row>
    <row r="497" ht="336.0" customHeight="1">
      <c r="A497" s="126"/>
      <c r="B497" s="127"/>
    </row>
    <row r="498" ht="336.0" customHeight="1">
      <c r="A498" s="126"/>
      <c r="B498" s="127"/>
    </row>
    <row r="499" ht="336.0" customHeight="1">
      <c r="A499" s="126"/>
      <c r="B499" s="127"/>
    </row>
    <row r="500" ht="336.0" customHeight="1">
      <c r="A500" s="126"/>
      <c r="B500" s="127"/>
    </row>
    <row r="501" ht="336.0" customHeight="1">
      <c r="A501" s="126"/>
      <c r="B501" s="127"/>
    </row>
    <row r="502" ht="336.0" customHeight="1">
      <c r="A502" s="126"/>
      <c r="B502" s="127"/>
    </row>
    <row r="503" ht="336.0" customHeight="1">
      <c r="A503" s="126"/>
      <c r="B503" s="127"/>
    </row>
    <row r="504" ht="336.0" customHeight="1">
      <c r="A504" s="126"/>
      <c r="B504" s="127"/>
    </row>
    <row r="505" ht="336.0" customHeight="1">
      <c r="A505" s="126"/>
      <c r="B505" s="127"/>
    </row>
    <row r="506" ht="336.0" customHeight="1">
      <c r="A506" s="126"/>
      <c r="B506" s="127"/>
    </row>
    <row r="507" ht="336.0" customHeight="1">
      <c r="A507" s="126"/>
      <c r="B507" s="127"/>
    </row>
    <row r="508" ht="336.0" customHeight="1">
      <c r="A508" s="126"/>
      <c r="B508" s="127"/>
    </row>
    <row r="509" ht="336.0" customHeight="1">
      <c r="A509" s="126"/>
      <c r="B509" s="127"/>
    </row>
    <row r="510" ht="336.0" customHeight="1">
      <c r="A510" s="126"/>
      <c r="B510" s="127"/>
    </row>
    <row r="511" ht="336.0" customHeight="1">
      <c r="A511" s="126"/>
      <c r="B511" s="127"/>
    </row>
    <row r="512" ht="336.0" customHeight="1">
      <c r="A512" s="126"/>
      <c r="B512" s="127"/>
    </row>
    <row r="513" ht="336.0" customHeight="1">
      <c r="A513" s="126"/>
      <c r="B513" s="127"/>
    </row>
    <row r="514" ht="336.0" customHeight="1">
      <c r="A514" s="126"/>
      <c r="B514" s="127"/>
    </row>
    <row r="515" ht="336.0" customHeight="1">
      <c r="A515" s="126"/>
      <c r="B515" s="127"/>
    </row>
    <row r="516" ht="336.0" customHeight="1">
      <c r="A516" s="126"/>
      <c r="B516" s="127"/>
    </row>
    <row r="517" ht="336.0" customHeight="1">
      <c r="A517" s="126"/>
      <c r="B517" s="127"/>
    </row>
    <row r="518" ht="336.0" customHeight="1">
      <c r="A518" s="126"/>
      <c r="B518" s="127"/>
    </row>
    <row r="519" ht="336.0" customHeight="1">
      <c r="A519" s="126"/>
      <c r="B519" s="127"/>
    </row>
    <row r="520" ht="336.0" customHeight="1">
      <c r="A520" s="126"/>
      <c r="B520" s="127"/>
    </row>
    <row r="521" ht="336.0" customHeight="1">
      <c r="A521" s="126"/>
      <c r="B521" s="127"/>
    </row>
    <row r="522" ht="336.0" customHeight="1">
      <c r="A522" s="126"/>
      <c r="B522" s="127"/>
    </row>
    <row r="523" ht="336.0" customHeight="1">
      <c r="A523" s="126"/>
      <c r="B523" s="127"/>
    </row>
    <row r="524" ht="336.0" customHeight="1">
      <c r="A524" s="126"/>
      <c r="B524" s="127"/>
    </row>
    <row r="525" ht="336.0" customHeight="1">
      <c r="A525" s="126"/>
      <c r="B525" s="127"/>
    </row>
    <row r="526" ht="336.0" customHeight="1">
      <c r="A526" s="126"/>
      <c r="B526" s="127"/>
    </row>
    <row r="527" ht="336.0" customHeight="1">
      <c r="A527" s="126"/>
      <c r="B527" s="127"/>
    </row>
    <row r="528" ht="336.0" customHeight="1">
      <c r="A528" s="126"/>
      <c r="B528" s="127"/>
    </row>
    <row r="529" ht="336.0" customHeight="1">
      <c r="A529" s="126"/>
      <c r="B529" s="127"/>
    </row>
    <row r="530" ht="336.0" customHeight="1">
      <c r="A530" s="126"/>
      <c r="B530" s="127"/>
    </row>
    <row r="531" ht="336.0" customHeight="1">
      <c r="A531" s="126"/>
      <c r="B531" s="127"/>
    </row>
    <row r="532" ht="336.0" customHeight="1">
      <c r="A532" s="126"/>
      <c r="B532" s="127"/>
    </row>
    <row r="533" ht="336.0" customHeight="1">
      <c r="A533" s="126"/>
      <c r="B533" s="127"/>
    </row>
    <row r="534" ht="336.0" customHeight="1">
      <c r="A534" s="126"/>
      <c r="B534" s="127"/>
    </row>
    <row r="535" ht="336.0" customHeight="1">
      <c r="A535" s="126"/>
      <c r="B535" s="127"/>
    </row>
    <row r="536" ht="336.0" customHeight="1">
      <c r="A536" s="126"/>
      <c r="B536" s="127"/>
    </row>
    <row r="537" ht="336.0" customHeight="1">
      <c r="A537" s="126"/>
      <c r="B537" s="127"/>
    </row>
    <row r="538" ht="336.0" customHeight="1">
      <c r="A538" s="126"/>
      <c r="B538" s="127"/>
    </row>
    <row r="539" ht="336.0" customHeight="1">
      <c r="A539" s="126"/>
      <c r="B539" s="127"/>
    </row>
    <row r="540" ht="336.0" customHeight="1">
      <c r="A540" s="126"/>
      <c r="B540" s="127"/>
    </row>
    <row r="541" ht="336.0" customHeight="1">
      <c r="A541" s="126"/>
      <c r="B541" s="127"/>
    </row>
    <row r="542" ht="336.0" customHeight="1">
      <c r="A542" s="126"/>
      <c r="B542" s="127"/>
    </row>
    <row r="543" ht="336.0" customHeight="1">
      <c r="A543" s="126"/>
      <c r="B543" s="127"/>
    </row>
    <row r="544" ht="336.0" customHeight="1">
      <c r="A544" s="126"/>
      <c r="B544" s="127"/>
    </row>
    <row r="545" ht="336.0" customHeight="1">
      <c r="A545" s="126"/>
      <c r="B545" s="127"/>
    </row>
    <row r="546" ht="336.0" customHeight="1">
      <c r="A546" s="126"/>
      <c r="B546" s="127"/>
    </row>
    <row r="547" ht="336.0" customHeight="1">
      <c r="A547" s="126"/>
      <c r="B547" s="127"/>
    </row>
    <row r="548" ht="336.0" customHeight="1">
      <c r="A548" s="126"/>
      <c r="B548" s="127"/>
    </row>
    <row r="549" ht="336.0" customHeight="1">
      <c r="A549" s="126"/>
      <c r="B549" s="127"/>
    </row>
    <row r="550" ht="336.0" customHeight="1">
      <c r="A550" s="126"/>
      <c r="B550" s="127"/>
    </row>
    <row r="551" ht="336.0" customHeight="1">
      <c r="A551" s="126"/>
      <c r="B551" s="127"/>
    </row>
    <row r="552" ht="336.0" customHeight="1">
      <c r="A552" s="126"/>
      <c r="B552" s="127"/>
    </row>
    <row r="553" ht="336.0" customHeight="1">
      <c r="A553" s="126"/>
      <c r="B553" s="127"/>
    </row>
    <row r="554" ht="336.0" customHeight="1">
      <c r="A554" s="126"/>
      <c r="B554" s="127"/>
    </row>
    <row r="555" ht="336.0" customHeight="1">
      <c r="A555" s="126"/>
      <c r="B555" s="127"/>
    </row>
    <row r="556" ht="336.0" customHeight="1">
      <c r="A556" s="126"/>
      <c r="B556" s="127"/>
    </row>
    <row r="557" ht="336.0" customHeight="1">
      <c r="A557" s="126"/>
      <c r="B557" s="127"/>
    </row>
    <row r="558" ht="336.0" customHeight="1">
      <c r="A558" s="126"/>
      <c r="B558" s="127"/>
    </row>
    <row r="559" ht="336.0" customHeight="1">
      <c r="A559" s="126"/>
      <c r="B559" s="127"/>
    </row>
    <row r="560" ht="336.0" customHeight="1">
      <c r="A560" s="126"/>
      <c r="B560" s="127"/>
    </row>
    <row r="561" ht="336.0" customHeight="1">
      <c r="A561" s="126"/>
      <c r="B561" s="127"/>
    </row>
    <row r="562" ht="336.0" customHeight="1">
      <c r="A562" s="126"/>
      <c r="B562" s="127"/>
    </row>
    <row r="563" ht="336.0" customHeight="1">
      <c r="A563" s="126"/>
      <c r="B563" s="127"/>
    </row>
    <row r="564" ht="336.0" customHeight="1">
      <c r="A564" s="126"/>
      <c r="B564" s="127"/>
    </row>
    <row r="565" ht="336.0" customHeight="1">
      <c r="A565" s="126"/>
      <c r="B565" s="127"/>
    </row>
    <row r="566" ht="336.0" customHeight="1">
      <c r="A566" s="126"/>
      <c r="B566" s="127"/>
    </row>
    <row r="567" ht="336.0" customHeight="1">
      <c r="A567" s="126"/>
      <c r="B567" s="127"/>
    </row>
    <row r="568" ht="336.0" customHeight="1">
      <c r="A568" s="126"/>
      <c r="B568" s="127"/>
    </row>
    <row r="569" ht="336.0" customHeight="1">
      <c r="A569" s="126"/>
      <c r="B569" s="127"/>
    </row>
    <row r="570" ht="336.0" customHeight="1">
      <c r="A570" s="126"/>
      <c r="B570" s="127"/>
    </row>
    <row r="571" ht="336.0" customHeight="1">
      <c r="A571" s="126"/>
      <c r="B571" s="127"/>
    </row>
    <row r="572" ht="336.0" customHeight="1">
      <c r="A572" s="126"/>
      <c r="B572" s="127"/>
    </row>
    <row r="573" ht="336.0" customHeight="1">
      <c r="A573" s="126"/>
      <c r="B573" s="127"/>
    </row>
    <row r="574" ht="336.0" customHeight="1">
      <c r="A574" s="126"/>
      <c r="B574" s="127"/>
    </row>
    <row r="575" ht="336.0" customHeight="1">
      <c r="A575" s="126"/>
      <c r="B575" s="127"/>
    </row>
    <row r="576" ht="336.0" customHeight="1">
      <c r="A576" s="126"/>
      <c r="B576" s="127"/>
    </row>
    <row r="577" ht="336.0" customHeight="1">
      <c r="A577" s="126"/>
      <c r="B577" s="127"/>
    </row>
    <row r="578" ht="336.0" customHeight="1">
      <c r="A578" s="126"/>
      <c r="B578" s="127"/>
    </row>
    <row r="579" ht="336.0" customHeight="1">
      <c r="A579" s="126"/>
      <c r="B579" s="127"/>
    </row>
    <row r="580" ht="336.0" customHeight="1">
      <c r="A580" s="126"/>
      <c r="B580" s="127"/>
    </row>
    <row r="581" ht="336.0" customHeight="1">
      <c r="A581" s="126"/>
      <c r="B581" s="127"/>
    </row>
    <row r="582" ht="336.0" customHeight="1">
      <c r="A582" s="126"/>
      <c r="B582" s="127"/>
    </row>
    <row r="583" ht="336.0" customHeight="1">
      <c r="A583" s="126"/>
      <c r="B583" s="127"/>
    </row>
    <row r="584" ht="336.0" customHeight="1">
      <c r="A584" s="126"/>
      <c r="B584" s="127"/>
    </row>
    <row r="585" ht="336.0" customHeight="1">
      <c r="A585" s="126"/>
      <c r="B585" s="127"/>
    </row>
    <row r="586" ht="336.0" customHeight="1">
      <c r="A586" s="126"/>
      <c r="B586" s="127"/>
    </row>
    <row r="587" ht="336.0" customHeight="1">
      <c r="A587" s="126"/>
      <c r="B587" s="127"/>
    </row>
    <row r="588" ht="336.0" customHeight="1">
      <c r="A588" s="126"/>
      <c r="B588" s="127"/>
    </row>
    <row r="589" ht="336.0" customHeight="1">
      <c r="A589" s="126"/>
      <c r="B589" s="127"/>
    </row>
    <row r="590" ht="336.0" customHeight="1">
      <c r="A590" s="126"/>
      <c r="B590" s="127"/>
    </row>
    <row r="591" ht="336.0" customHeight="1">
      <c r="A591" s="126"/>
      <c r="B591" s="127"/>
    </row>
    <row r="592" ht="336.0" customHeight="1">
      <c r="A592" s="126"/>
      <c r="B592" s="127"/>
    </row>
    <row r="593" ht="336.0" customHeight="1">
      <c r="A593" s="126"/>
      <c r="B593" s="127"/>
    </row>
    <row r="594" ht="336.0" customHeight="1">
      <c r="A594" s="126"/>
      <c r="B594" s="127"/>
    </row>
    <row r="595" ht="336.0" customHeight="1">
      <c r="A595" s="126"/>
      <c r="B595" s="127"/>
    </row>
    <row r="596" ht="336.0" customHeight="1">
      <c r="A596" s="126"/>
      <c r="B596" s="127"/>
    </row>
    <row r="597" ht="336.0" customHeight="1">
      <c r="A597" s="126"/>
      <c r="B597" s="127"/>
    </row>
    <row r="598" ht="336.0" customHeight="1">
      <c r="A598" s="126"/>
      <c r="B598" s="127"/>
    </row>
    <row r="599" ht="336.0" customHeight="1">
      <c r="A599" s="126"/>
      <c r="B599" s="127"/>
    </row>
    <row r="600" ht="336.0" customHeight="1">
      <c r="A600" s="126"/>
      <c r="B600" s="127"/>
    </row>
    <row r="601" ht="336.0" customHeight="1">
      <c r="A601" s="126"/>
      <c r="B601" s="127"/>
    </row>
    <row r="602" ht="336.0" customHeight="1">
      <c r="A602" s="126"/>
      <c r="B602" s="127"/>
    </row>
    <row r="603" ht="336.0" customHeight="1">
      <c r="A603" s="126"/>
      <c r="B603" s="127"/>
    </row>
    <row r="604" ht="336.0" customHeight="1">
      <c r="A604" s="126"/>
      <c r="B604" s="127"/>
    </row>
    <row r="605" ht="336.0" customHeight="1">
      <c r="A605" s="126"/>
      <c r="B605" s="127"/>
    </row>
    <row r="606" ht="336.0" customHeight="1">
      <c r="A606" s="126"/>
      <c r="B606" s="127"/>
    </row>
    <row r="607" ht="336.0" customHeight="1">
      <c r="A607" s="126"/>
      <c r="B607" s="127"/>
    </row>
    <row r="608" ht="336.0" customHeight="1">
      <c r="A608" s="126"/>
      <c r="B608" s="127"/>
    </row>
    <row r="609" ht="336.0" customHeight="1">
      <c r="A609" s="126"/>
      <c r="B609" s="127"/>
    </row>
    <row r="610" ht="336.0" customHeight="1">
      <c r="A610" s="126"/>
      <c r="B610" s="127"/>
    </row>
    <row r="611" ht="336.0" customHeight="1">
      <c r="A611" s="126"/>
      <c r="B611" s="127"/>
    </row>
    <row r="612" ht="336.0" customHeight="1">
      <c r="A612" s="126"/>
      <c r="B612" s="127"/>
    </row>
    <row r="613" ht="336.0" customHeight="1">
      <c r="A613" s="126"/>
      <c r="B613" s="127"/>
    </row>
    <row r="614" ht="336.0" customHeight="1">
      <c r="A614" s="126"/>
      <c r="B614" s="127"/>
    </row>
    <row r="615" ht="336.0" customHeight="1">
      <c r="A615" s="126"/>
      <c r="B615" s="127"/>
    </row>
    <row r="616" ht="336.0" customHeight="1">
      <c r="A616" s="126"/>
      <c r="B616" s="127"/>
    </row>
    <row r="617" ht="336.0" customHeight="1">
      <c r="A617" s="126"/>
      <c r="B617" s="127"/>
    </row>
    <row r="618" ht="336.0" customHeight="1">
      <c r="A618" s="126"/>
      <c r="B618" s="127"/>
    </row>
    <row r="619" ht="336.0" customHeight="1">
      <c r="A619" s="126"/>
      <c r="B619" s="127"/>
    </row>
    <row r="620" ht="336.0" customHeight="1">
      <c r="A620" s="126"/>
      <c r="B620" s="127"/>
    </row>
    <row r="621" ht="336.0" customHeight="1">
      <c r="A621" s="126"/>
      <c r="B621" s="127"/>
    </row>
    <row r="622" ht="336.0" customHeight="1">
      <c r="A622" s="126"/>
      <c r="B622" s="127"/>
    </row>
    <row r="623" ht="336.0" customHeight="1">
      <c r="A623" s="126"/>
      <c r="B623" s="127"/>
    </row>
    <row r="624" ht="336.0" customHeight="1">
      <c r="A624" s="126"/>
      <c r="B624" s="127"/>
    </row>
    <row r="625" ht="336.0" customHeight="1">
      <c r="A625" s="126"/>
      <c r="B625" s="127"/>
    </row>
    <row r="626" ht="336.0" customHeight="1">
      <c r="A626" s="126"/>
      <c r="B626" s="127"/>
    </row>
    <row r="627" ht="336.0" customHeight="1">
      <c r="A627" s="126"/>
      <c r="B627" s="127"/>
    </row>
    <row r="628" ht="336.0" customHeight="1">
      <c r="A628" s="126"/>
      <c r="B628" s="127"/>
    </row>
    <row r="629" ht="336.0" customHeight="1">
      <c r="A629" s="126"/>
      <c r="B629" s="127"/>
    </row>
    <row r="630" ht="336.0" customHeight="1">
      <c r="A630" s="126"/>
      <c r="B630" s="127"/>
    </row>
    <row r="631" ht="336.0" customHeight="1">
      <c r="A631" s="126"/>
      <c r="B631" s="127"/>
    </row>
    <row r="632" ht="336.0" customHeight="1">
      <c r="A632" s="126"/>
      <c r="B632" s="127"/>
    </row>
    <row r="633" ht="336.0" customHeight="1">
      <c r="A633" s="126"/>
      <c r="B633" s="127"/>
    </row>
    <row r="634" ht="336.0" customHeight="1">
      <c r="A634" s="126"/>
      <c r="B634" s="127"/>
    </row>
    <row r="635" ht="336.0" customHeight="1">
      <c r="A635" s="126"/>
      <c r="B635" s="127"/>
    </row>
    <row r="636" ht="336.0" customHeight="1">
      <c r="A636" s="126"/>
      <c r="B636" s="127"/>
    </row>
    <row r="637" ht="336.0" customHeight="1">
      <c r="A637" s="126"/>
      <c r="B637" s="127"/>
    </row>
    <row r="638" ht="336.0" customHeight="1">
      <c r="A638" s="126"/>
      <c r="B638" s="127"/>
    </row>
    <row r="639" ht="336.0" customHeight="1">
      <c r="A639" s="126"/>
      <c r="B639" s="127"/>
    </row>
    <row r="640" ht="336.0" customHeight="1">
      <c r="A640" s="126"/>
      <c r="B640" s="127"/>
    </row>
    <row r="641" ht="336.0" customHeight="1">
      <c r="A641" s="126"/>
      <c r="B641" s="127"/>
    </row>
    <row r="642" ht="336.0" customHeight="1">
      <c r="A642" s="126"/>
      <c r="B642" s="127"/>
    </row>
    <row r="643" ht="336.0" customHeight="1">
      <c r="A643" s="126"/>
      <c r="B643" s="127"/>
    </row>
    <row r="644" ht="336.0" customHeight="1">
      <c r="A644" s="126"/>
      <c r="B644" s="127"/>
    </row>
    <row r="645" ht="336.0" customHeight="1">
      <c r="A645" s="126"/>
      <c r="B645" s="127"/>
    </row>
    <row r="646" ht="336.0" customHeight="1">
      <c r="A646" s="126"/>
      <c r="B646" s="127"/>
    </row>
    <row r="647" ht="336.0" customHeight="1">
      <c r="A647" s="126"/>
      <c r="B647" s="127"/>
    </row>
    <row r="648" ht="336.0" customHeight="1">
      <c r="A648" s="126"/>
      <c r="B648" s="127"/>
    </row>
    <row r="649" ht="336.0" customHeight="1">
      <c r="A649" s="126"/>
      <c r="B649" s="127"/>
    </row>
    <row r="650" ht="336.0" customHeight="1">
      <c r="A650" s="126"/>
      <c r="B650" s="127"/>
    </row>
    <row r="651" ht="336.0" customHeight="1">
      <c r="A651" s="126"/>
      <c r="B651" s="127"/>
    </row>
    <row r="652" ht="336.0" customHeight="1">
      <c r="A652" s="126"/>
      <c r="B652" s="127"/>
    </row>
    <row r="653" ht="336.0" customHeight="1">
      <c r="A653" s="126"/>
      <c r="B653" s="127"/>
    </row>
    <row r="654" ht="336.0" customHeight="1">
      <c r="A654" s="126"/>
      <c r="B654" s="127"/>
    </row>
    <row r="655" ht="336.0" customHeight="1">
      <c r="A655" s="126"/>
      <c r="B655" s="127"/>
    </row>
    <row r="656" ht="336.0" customHeight="1">
      <c r="A656" s="126"/>
      <c r="B656" s="127"/>
    </row>
    <row r="657" ht="336.0" customHeight="1">
      <c r="A657" s="126"/>
      <c r="B657" s="127"/>
    </row>
    <row r="658" ht="336.0" customHeight="1">
      <c r="A658" s="126"/>
      <c r="B658" s="127"/>
    </row>
    <row r="659" ht="336.0" customHeight="1">
      <c r="A659" s="126"/>
      <c r="B659" s="127"/>
    </row>
    <row r="660" ht="336.0" customHeight="1">
      <c r="A660" s="126"/>
      <c r="B660" s="127"/>
    </row>
    <row r="661" ht="336.0" customHeight="1">
      <c r="A661" s="126"/>
      <c r="B661" s="127"/>
    </row>
    <row r="662" ht="336.0" customHeight="1">
      <c r="A662" s="126"/>
      <c r="B662" s="127"/>
    </row>
    <row r="663" ht="336.0" customHeight="1">
      <c r="A663" s="126"/>
      <c r="B663" s="127"/>
    </row>
    <row r="664" ht="336.0" customHeight="1">
      <c r="A664" s="126"/>
      <c r="B664" s="127"/>
    </row>
    <row r="665" ht="336.0" customHeight="1">
      <c r="A665" s="126"/>
      <c r="B665" s="127"/>
    </row>
    <row r="666" ht="336.0" customHeight="1">
      <c r="A666" s="126"/>
      <c r="B666" s="127"/>
    </row>
    <row r="667" ht="336.0" customHeight="1">
      <c r="A667" s="126"/>
      <c r="B667" s="127"/>
    </row>
    <row r="668" ht="336.0" customHeight="1">
      <c r="A668" s="126"/>
      <c r="B668" s="127"/>
    </row>
    <row r="669" ht="336.0" customHeight="1">
      <c r="A669" s="126"/>
      <c r="B669" s="127"/>
    </row>
    <row r="670" ht="336.0" customHeight="1">
      <c r="A670" s="126"/>
      <c r="B670" s="127"/>
    </row>
    <row r="671" ht="336.0" customHeight="1">
      <c r="A671" s="126"/>
      <c r="B671" s="127"/>
    </row>
    <row r="672" ht="336.0" customHeight="1">
      <c r="A672" s="126"/>
      <c r="B672" s="127"/>
    </row>
    <row r="673" ht="336.0" customHeight="1">
      <c r="A673" s="126"/>
      <c r="B673" s="127"/>
    </row>
    <row r="674" ht="336.0" customHeight="1">
      <c r="A674" s="126"/>
      <c r="B674" s="127"/>
    </row>
    <row r="675" ht="336.0" customHeight="1">
      <c r="A675" s="126"/>
      <c r="B675" s="127"/>
    </row>
    <row r="676" ht="336.0" customHeight="1">
      <c r="A676" s="126"/>
      <c r="B676" s="127"/>
    </row>
    <row r="677" ht="336.0" customHeight="1">
      <c r="A677" s="126"/>
      <c r="B677" s="127"/>
    </row>
    <row r="678" ht="336.0" customHeight="1">
      <c r="A678" s="126"/>
      <c r="B678" s="127"/>
    </row>
    <row r="679" ht="336.0" customHeight="1">
      <c r="A679" s="126"/>
      <c r="B679" s="127"/>
    </row>
    <row r="680" ht="336.0" customHeight="1">
      <c r="A680" s="126"/>
      <c r="B680" s="127"/>
    </row>
    <row r="681" ht="336.0" customHeight="1">
      <c r="A681" s="126"/>
      <c r="B681" s="127"/>
    </row>
    <row r="682" ht="336.0" customHeight="1">
      <c r="A682" s="126"/>
      <c r="B682" s="127"/>
    </row>
    <row r="683" ht="336.0" customHeight="1">
      <c r="A683" s="126"/>
      <c r="B683" s="127"/>
    </row>
    <row r="684" ht="336.0" customHeight="1">
      <c r="A684" s="126"/>
      <c r="B684" s="127"/>
    </row>
    <row r="685" ht="336.0" customHeight="1">
      <c r="A685" s="126"/>
      <c r="B685" s="127"/>
    </row>
    <row r="686" ht="336.0" customHeight="1">
      <c r="A686" s="126"/>
      <c r="B686" s="127"/>
    </row>
    <row r="687" ht="336.0" customHeight="1">
      <c r="A687" s="126"/>
      <c r="B687" s="127"/>
    </row>
    <row r="688" ht="336.0" customHeight="1">
      <c r="A688" s="126"/>
      <c r="B688" s="127"/>
    </row>
    <row r="689" ht="336.0" customHeight="1">
      <c r="A689" s="126"/>
      <c r="B689" s="127"/>
    </row>
    <row r="690" ht="336.0" customHeight="1">
      <c r="A690" s="126"/>
      <c r="B690" s="127"/>
    </row>
    <row r="691" ht="336.0" customHeight="1">
      <c r="A691" s="126"/>
      <c r="B691" s="127"/>
    </row>
    <row r="692" ht="336.0" customHeight="1">
      <c r="A692" s="126"/>
      <c r="B692" s="127"/>
    </row>
    <row r="693" ht="336.0" customHeight="1">
      <c r="A693" s="126"/>
      <c r="B693" s="127"/>
    </row>
    <row r="694" ht="336.0" customHeight="1">
      <c r="A694" s="126"/>
      <c r="B694" s="127"/>
    </row>
    <row r="695" ht="336.0" customHeight="1">
      <c r="A695" s="126"/>
      <c r="B695" s="127"/>
    </row>
    <row r="696" ht="336.0" customHeight="1">
      <c r="A696" s="126"/>
      <c r="B696" s="127"/>
    </row>
    <row r="697" ht="336.0" customHeight="1">
      <c r="A697" s="126"/>
      <c r="B697" s="127"/>
    </row>
    <row r="698" ht="336.0" customHeight="1">
      <c r="A698" s="126"/>
      <c r="B698" s="127"/>
    </row>
    <row r="699" ht="336.0" customHeight="1">
      <c r="A699" s="126"/>
      <c r="B699" s="127"/>
    </row>
    <row r="700" ht="336.0" customHeight="1">
      <c r="A700" s="126"/>
      <c r="B700" s="127"/>
    </row>
    <row r="701" ht="336.0" customHeight="1">
      <c r="A701" s="126"/>
      <c r="B701" s="127"/>
    </row>
    <row r="702" ht="336.0" customHeight="1">
      <c r="A702" s="126"/>
      <c r="B702" s="127"/>
    </row>
    <row r="703" ht="336.0" customHeight="1">
      <c r="A703" s="126"/>
      <c r="B703" s="127"/>
    </row>
    <row r="704" ht="336.0" customHeight="1">
      <c r="A704" s="126"/>
      <c r="B704" s="127"/>
    </row>
    <row r="705" ht="336.0" customHeight="1">
      <c r="A705" s="126"/>
      <c r="B705" s="127"/>
    </row>
    <row r="706" ht="336.0" customHeight="1">
      <c r="A706" s="126"/>
      <c r="B706" s="127"/>
    </row>
    <row r="707" ht="336.0" customHeight="1">
      <c r="A707" s="126"/>
      <c r="B707" s="127"/>
    </row>
    <row r="708" ht="336.0" customHeight="1">
      <c r="A708" s="126"/>
      <c r="B708" s="127"/>
    </row>
    <row r="709" ht="336.0" customHeight="1">
      <c r="A709" s="126"/>
      <c r="B709" s="127"/>
    </row>
    <row r="710" ht="336.0" customHeight="1">
      <c r="A710" s="126"/>
      <c r="B710" s="127"/>
    </row>
    <row r="711" ht="336.0" customHeight="1">
      <c r="A711" s="126"/>
      <c r="B711" s="127"/>
    </row>
    <row r="712" ht="336.0" customHeight="1">
      <c r="A712" s="126"/>
      <c r="B712" s="127"/>
    </row>
    <row r="713" ht="336.0" customHeight="1">
      <c r="A713" s="126"/>
      <c r="B713" s="127"/>
    </row>
    <row r="714" ht="336.0" customHeight="1">
      <c r="A714" s="126"/>
      <c r="B714" s="127"/>
    </row>
    <row r="715" ht="336.0" customHeight="1">
      <c r="A715" s="126"/>
      <c r="B715" s="127"/>
    </row>
    <row r="716" ht="336.0" customHeight="1">
      <c r="A716" s="126"/>
      <c r="B716" s="127"/>
    </row>
    <row r="717" ht="336.0" customHeight="1">
      <c r="A717" s="126"/>
      <c r="B717" s="127"/>
    </row>
    <row r="718" ht="336.0" customHeight="1">
      <c r="A718" s="126"/>
      <c r="B718" s="127"/>
    </row>
    <row r="719" ht="336.0" customHeight="1">
      <c r="A719" s="126"/>
      <c r="B719" s="127"/>
    </row>
    <row r="720" ht="336.0" customHeight="1">
      <c r="A720" s="126"/>
      <c r="B720" s="127"/>
    </row>
    <row r="721" ht="336.0" customHeight="1">
      <c r="A721" s="126"/>
      <c r="B721" s="127"/>
    </row>
    <row r="722" ht="336.0" customHeight="1">
      <c r="A722" s="126"/>
      <c r="B722" s="127"/>
    </row>
    <row r="723" ht="336.0" customHeight="1">
      <c r="A723" s="126"/>
      <c r="B723" s="127"/>
    </row>
    <row r="724" ht="336.0" customHeight="1">
      <c r="A724" s="126"/>
      <c r="B724" s="127"/>
    </row>
    <row r="725" ht="336.0" customHeight="1">
      <c r="A725" s="126"/>
      <c r="B725" s="127"/>
    </row>
    <row r="726" ht="336.0" customHeight="1">
      <c r="A726" s="126"/>
      <c r="B726" s="127"/>
    </row>
    <row r="727" ht="336.0" customHeight="1">
      <c r="A727" s="126"/>
      <c r="B727" s="127"/>
    </row>
    <row r="728" ht="336.0" customHeight="1">
      <c r="A728" s="126"/>
      <c r="B728" s="127"/>
    </row>
    <row r="729" ht="336.0" customHeight="1">
      <c r="A729" s="126"/>
      <c r="B729" s="127"/>
    </row>
    <row r="730" ht="336.0" customHeight="1">
      <c r="A730" s="126"/>
      <c r="B730" s="127"/>
    </row>
    <row r="731" ht="336.0" customHeight="1">
      <c r="A731" s="126"/>
      <c r="B731" s="127"/>
    </row>
    <row r="732" ht="336.0" customHeight="1">
      <c r="A732" s="126"/>
      <c r="B732" s="127"/>
    </row>
    <row r="733" ht="336.0" customHeight="1">
      <c r="A733" s="126"/>
      <c r="B733" s="127"/>
    </row>
    <row r="734" ht="336.0" customHeight="1">
      <c r="A734" s="126"/>
      <c r="B734" s="127"/>
    </row>
    <row r="735" ht="336.0" customHeight="1">
      <c r="A735" s="126"/>
      <c r="B735" s="127"/>
    </row>
    <row r="736" ht="336.0" customHeight="1">
      <c r="A736" s="126"/>
      <c r="B736" s="127"/>
    </row>
    <row r="737" ht="336.0" customHeight="1">
      <c r="A737" s="126"/>
      <c r="B737" s="127"/>
    </row>
    <row r="738" ht="336.0" customHeight="1">
      <c r="A738" s="126"/>
      <c r="B738" s="127"/>
    </row>
    <row r="739" ht="336.0" customHeight="1">
      <c r="A739" s="126"/>
      <c r="B739" s="127"/>
    </row>
    <row r="740" ht="336.0" customHeight="1">
      <c r="A740" s="126"/>
      <c r="B740" s="127"/>
    </row>
    <row r="741" ht="336.0" customHeight="1">
      <c r="A741" s="126"/>
      <c r="B741" s="127"/>
    </row>
    <row r="742" ht="336.0" customHeight="1">
      <c r="A742" s="126"/>
      <c r="B742" s="127"/>
    </row>
    <row r="743" ht="336.0" customHeight="1">
      <c r="A743" s="126"/>
      <c r="B743" s="127"/>
    </row>
    <row r="744" ht="336.0" customHeight="1">
      <c r="A744" s="126"/>
      <c r="B744" s="127"/>
    </row>
    <row r="745" ht="336.0" customHeight="1">
      <c r="A745" s="126"/>
      <c r="B745" s="127"/>
    </row>
    <row r="746" ht="336.0" customHeight="1">
      <c r="A746" s="126"/>
      <c r="B746" s="127"/>
    </row>
    <row r="747" ht="336.0" customHeight="1">
      <c r="A747" s="126"/>
      <c r="B747" s="127"/>
    </row>
    <row r="748" ht="336.0" customHeight="1">
      <c r="A748" s="126"/>
      <c r="B748" s="127"/>
    </row>
    <row r="749" ht="336.0" customHeight="1">
      <c r="A749" s="126"/>
      <c r="B749" s="127"/>
    </row>
    <row r="750" ht="336.0" customHeight="1">
      <c r="A750" s="126"/>
      <c r="B750" s="127"/>
    </row>
    <row r="751" ht="336.0" customHeight="1">
      <c r="A751" s="126"/>
      <c r="B751" s="127"/>
    </row>
    <row r="752" ht="336.0" customHeight="1">
      <c r="A752" s="126"/>
      <c r="B752" s="127"/>
    </row>
    <row r="753" ht="336.0" customHeight="1">
      <c r="A753" s="126"/>
      <c r="B753" s="127"/>
    </row>
    <row r="754" ht="336.0" customHeight="1">
      <c r="A754" s="126"/>
      <c r="B754" s="127"/>
    </row>
    <row r="755" ht="336.0" customHeight="1">
      <c r="A755" s="126"/>
      <c r="B755" s="127"/>
    </row>
    <row r="756" ht="336.0" customHeight="1">
      <c r="A756" s="126"/>
      <c r="B756" s="127"/>
    </row>
    <row r="757" ht="336.0" customHeight="1">
      <c r="A757" s="126"/>
      <c r="B757" s="127"/>
    </row>
    <row r="758" ht="336.0" customHeight="1">
      <c r="A758" s="126"/>
      <c r="B758" s="127"/>
    </row>
    <row r="759" ht="336.0" customHeight="1">
      <c r="A759" s="126"/>
      <c r="B759" s="127"/>
    </row>
    <row r="760" ht="336.0" customHeight="1">
      <c r="A760" s="126"/>
      <c r="B760" s="127"/>
    </row>
    <row r="761" ht="336.0" customHeight="1">
      <c r="A761" s="126"/>
      <c r="B761" s="127"/>
    </row>
    <row r="762" ht="336.0" customHeight="1">
      <c r="A762" s="126"/>
      <c r="B762" s="127"/>
    </row>
    <row r="763" ht="336.0" customHeight="1">
      <c r="A763" s="126"/>
      <c r="B763" s="127"/>
    </row>
    <row r="764" ht="336.0" customHeight="1">
      <c r="A764" s="126"/>
      <c r="B764" s="127"/>
    </row>
    <row r="765" ht="336.0" customHeight="1">
      <c r="A765" s="126"/>
      <c r="B765" s="127"/>
    </row>
    <row r="766" ht="336.0" customHeight="1">
      <c r="A766" s="126"/>
      <c r="B766" s="127"/>
    </row>
    <row r="767" ht="336.0" customHeight="1">
      <c r="A767" s="126"/>
      <c r="B767" s="127"/>
    </row>
    <row r="768" ht="336.0" customHeight="1">
      <c r="A768" s="126"/>
      <c r="B768" s="127"/>
    </row>
    <row r="769" ht="336.0" customHeight="1">
      <c r="A769" s="126"/>
      <c r="B769" s="127"/>
    </row>
    <row r="770" ht="336.0" customHeight="1">
      <c r="A770" s="126"/>
      <c r="B770" s="127"/>
    </row>
    <row r="771" ht="336.0" customHeight="1">
      <c r="A771" s="126"/>
      <c r="B771" s="127"/>
    </row>
    <row r="772" ht="336.0" customHeight="1">
      <c r="A772" s="126"/>
      <c r="B772" s="127"/>
    </row>
    <row r="773" ht="336.0" customHeight="1">
      <c r="A773" s="126"/>
      <c r="B773" s="127"/>
    </row>
    <row r="774" ht="336.0" customHeight="1">
      <c r="A774" s="126"/>
      <c r="B774" s="127"/>
    </row>
    <row r="775" ht="336.0" customHeight="1">
      <c r="A775" s="126"/>
      <c r="B775" s="127"/>
    </row>
    <row r="776" ht="336.0" customHeight="1">
      <c r="A776" s="126"/>
      <c r="B776" s="127"/>
    </row>
    <row r="777" ht="336.0" customHeight="1">
      <c r="A777" s="126"/>
      <c r="B777" s="127"/>
    </row>
    <row r="778" ht="336.0" customHeight="1">
      <c r="A778" s="126"/>
      <c r="B778" s="127"/>
    </row>
    <row r="779" ht="336.0" customHeight="1">
      <c r="A779" s="126"/>
      <c r="B779" s="127"/>
    </row>
    <row r="780" ht="336.0" customHeight="1">
      <c r="A780" s="126"/>
      <c r="B780" s="127"/>
    </row>
    <row r="781" ht="336.0" customHeight="1">
      <c r="A781" s="126"/>
      <c r="B781" s="127"/>
    </row>
    <row r="782" ht="336.0" customHeight="1">
      <c r="A782" s="126"/>
      <c r="B782" s="127"/>
    </row>
    <row r="783" ht="336.0" customHeight="1">
      <c r="A783" s="126"/>
      <c r="B783" s="127"/>
    </row>
    <row r="784" ht="336.0" customHeight="1">
      <c r="A784" s="126"/>
      <c r="B784" s="127"/>
    </row>
    <row r="785" ht="336.0" customHeight="1">
      <c r="A785" s="126"/>
      <c r="B785" s="127"/>
    </row>
    <row r="786" ht="336.0" customHeight="1">
      <c r="A786" s="126"/>
      <c r="B786" s="127"/>
    </row>
    <row r="787" ht="336.0" customHeight="1">
      <c r="A787" s="126"/>
      <c r="B787" s="127"/>
    </row>
    <row r="788" ht="336.0" customHeight="1">
      <c r="A788" s="126"/>
      <c r="B788" s="127"/>
    </row>
    <row r="789" ht="336.0" customHeight="1">
      <c r="A789" s="126"/>
      <c r="B789" s="127"/>
    </row>
    <row r="790" ht="336.0" customHeight="1">
      <c r="A790" s="126"/>
      <c r="B790" s="127"/>
    </row>
    <row r="791" ht="336.0" customHeight="1">
      <c r="A791" s="126"/>
      <c r="B791" s="127"/>
    </row>
    <row r="792" ht="336.0" customHeight="1">
      <c r="A792" s="126"/>
      <c r="B792" s="127"/>
    </row>
    <row r="793" ht="336.0" customHeight="1">
      <c r="A793" s="126"/>
      <c r="B793" s="127"/>
    </row>
    <row r="794" ht="336.0" customHeight="1">
      <c r="A794" s="126"/>
      <c r="B794" s="127"/>
    </row>
    <row r="795" ht="336.0" customHeight="1">
      <c r="A795" s="126"/>
      <c r="B795" s="127"/>
    </row>
    <row r="796" ht="336.0" customHeight="1">
      <c r="A796" s="126"/>
      <c r="B796" s="127"/>
    </row>
    <row r="797" ht="336.0" customHeight="1">
      <c r="A797" s="126"/>
      <c r="B797" s="127"/>
    </row>
    <row r="798" ht="336.0" customHeight="1">
      <c r="A798" s="126"/>
      <c r="B798" s="127"/>
    </row>
    <row r="799" ht="336.0" customHeight="1">
      <c r="A799" s="126"/>
      <c r="B799" s="127"/>
    </row>
    <row r="800" ht="336.0" customHeight="1">
      <c r="A800" s="126"/>
      <c r="B800" s="127"/>
    </row>
    <row r="801" ht="336.0" customHeight="1">
      <c r="A801" s="126"/>
      <c r="B801" s="127"/>
    </row>
    <row r="802" ht="336.0" customHeight="1">
      <c r="A802" s="126"/>
      <c r="B802" s="127"/>
    </row>
    <row r="803" ht="336.0" customHeight="1">
      <c r="A803" s="126"/>
      <c r="B803" s="127"/>
    </row>
    <row r="804" ht="336.0" customHeight="1">
      <c r="A804" s="126"/>
      <c r="B804" s="127"/>
    </row>
    <row r="805" ht="336.0" customHeight="1">
      <c r="A805" s="126"/>
      <c r="B805" s="127"/>
    </row>
    <row r="806" ht="336.0" customHeight="1">
      <c r="A806" s="126"/>
      <c r="B806" s="127"/>
    </row>
    <row r="807" ht="336.0" customHeight="1">
      <c r="A807" s="126"/>
      <c r="B807" s="127"/>
    </row>
    <row r="808" ht="336.0" customHeight="1">
      <c r="A808" s="126"/>
      <c r="B808" s="127"/>
    </row>
    <row r="809" ht="336.0" customHeight="1">
      <c r="A809" s="126"/>
      <c r="B809" s="127"/>
    </row>
    <row r="810" ht="336.0" customHeight="1">
      <c r="A810" s="126"/>
      <c r="B810" s="127"/>
    </row>
    <row r="811" ht="336.0" customHeight="1">
      <c r="A811" s="126"/>
      <c r="B811" s="127"/>
    </row>
    <row r="812" ht="336.0" customHeight="1">
      <c r="A812" s="126"/>
      <c r="B812" s="127"/>
    </row>
    <row r="813" ht="336.0" customHeight="1">
      <c r="A813" s="126"/>
      <c r="B813" s="127"/>
    </row>
    <row r="814" ht="336.0" customHeight="1">
      <c r="A814" s="126"/>
      <c r="B814" s="127"/>
    </row>
    <row r="815" ht="336.0" customHeight="1">
      <c r="A815" s="126"/>
      <c r="B815" s="127"/>
    </row>
    <row r="816" ht="336.0" customHeight="1">
      <c r="A816" s="126"/>
      <c r="B816" s="127"/>
    </row>
    <row r="817" ht="336.0" customHeight="1">
      <c r="A817" s="126"/>
      <c r="B817" s="127"/>
    </row>
    <row r="818" ht="336.0" customHeight="1">
      <c r="A818" s="126"/>
      <c r="B818" s="127"/>
    </row>
    <row r="819" ht="336.0" customHeight="1">
      <c r="A819" s="126"/>
      <c r="B819" s="127"/>
    </row>
    <row r="820" ht="336.0" customHeight="1">
      <c r="A820" s="126"/>
      <c r="B820" s="127"/>
    </row>
    <row r="821" ht="336.0" customHeight="1">
      <c r="A821" s="126"/>
      <c r="B821" s="127"/>
    </row>
    <row r="822" ht="336.0" customHeight="1">
      <c r="A822" s="126"/>
      <c r="B822" s="127"/>
    </row>
    <row r="823" ht="336.0" customHeight="1">
      <c r="A823" s="126"/>
      <c r="B823" s="127"/>
    </row>
    <row r="824" ht="336.0" customHeight="1">
      <c r="A824" s="126"/>
      <c r="B824" s="127"/>
    </row>
    <row r="825" ht="336.0" customHeight="1">
      <c r="A825" s="126"/>
      <c r="B825" s="127"/>
    </row>
    <row r="826" ht="336.0" customHeight="1">
      <c r="A826" s="126"/>
      <c r="B826" s="127"/>
    </row>
    <row r="827" ht="336.0" customHeight="1">
      <c r="A827" s="126"/>
      <c r="B827" s="127"/>
    </row>
    <row r="828" ht="336.0" customHeight="1">
      <c r="A828" s="126"/>
      <c r="B828" s="127"/>
    </row>
    <row r="829" ht="336.0" customHeight="1">
      <c r="A829" s="126"/>
      <c r="B829" s="127"/>
    </row>
    <row r="830" ht="336.0" customHeight="1">
      <c r="A830" s="126"/>
      <c r="B830" s="127"/>
    </row>
    <row r="831" ht="336.0" customHeight="1">
      <c r="A831" s="126"/>
      <c r="B831" s="127"/>
    </row>
    <row r="832" ht="336.0" customHeight="1">
      <c r="A832" s="126"/>
      <c r="B832" s="127"/>
    </row>
    <row r="833" ht="336.0" customHeight="1">
      <c r="A833" s="126"/>
      <c r="B833" s="127"/>
    </row>
    <row r="834" ht="336.0" customHeight="1">
      <c r="A834" s="126"/>
      <c r="B834" s="127"/>
    </row>
    <row r="835" ht="336.0" customHeight="1">
      <c r="A835" s="126"/>
      <c r="B835" s="127"/>
    </row>
    <row r="836" ht="336.0" customHeight="1">
      <c r="A836" s="126"/>
      <c r="B836" s="127"/>
    </row>
    <row r="837" ht="336.0" customHeight="1">
      <c r="A837" s="126"/>
      <c r="B837" s="127"/>
    </row>
    <row r="838" ht="336.0" customHeight="1">
      <c r="A838" s="126"/>
      <c r="B838" s="127"/>
    </row>
    <row r="839" ht="336.0" customHeight="1">
      <c r="A839" s="126"/>
      <c r="B839" s="127"/>
    </row>
    <row r="840" ht="336.0" customHeight="1">
      <c r="A840" s="126"/>
      <c r="B840" s="127"/>
    </row>
    <row r="841" ht="336.0" customHeight="1">
      <c r="A841" s="126"/>
      <c r="B841" s="127"/>
    </row>
    <row r="842" ht="336.0" customHeight="1">
      <c r="A842" s="126"/>
      <c r="B842" s="127"/>
    </row>
    <row r="843" ht="336.0" customHeight="1">
      <c r="A843" s="126"/>
      <c r="B843" s="127"/>
    </row>
    <row r="844" ht="336.0" customHeight="1">
      <c r="A844" s="126"/>
      <c r="B844" s="127"/>
    </row>
    <row r="845" ht="336.0" customHeight="1">
      <c r="A845" s="126"/>
      <c r="B845" s="127"/>
    </row>
    <row r="846" ht="336.0" customHeight="1">
      <c r="A846" s="126"/>
      <c r="B846" s="127"/>
    </row>
    <row r="847" ht="336.0" customHeight="1">
      <c r="A847" s="126"/>
      <c r="B847" s="127"/>
    </row>
    <row r="848" ht="336.0" customHeight="1">
      <c r="A848" s="126"/>
      <c r="B848" s="127"/>
    </row>
    <row r="849" ht="336.0" customHeight="1">
      <c r="A849" s="126"/>
      <c r="B849" s="127"/>
    </row>
    <row r="850" ht="336.0" customHeight="1">
      <c r="A850" s="126"/>
      <c r="B850" s="127"/>
    </row>
    <row r="851" ht="336.0" customHeight="1">
      <c r="A851" s="126"/>
      <c r="B851" s="127"/>
    </row>
    <row r="852" ht="336.0" customHeight="1">
      <c r="A852" s="126"/>
      <c r="B852" s="127"/>
    </row>
    <row r="853" ht="336.0" customHeight="1">
      <c r="A853" s="126"/>
      <c r="B853" s="127"/>
    </row>
    <row r="854" ht="336.0" customHeight="1">
      <c r="A854" s="126"/>
      <c r="B854" s="127"/>
    </row>
    <row r="855" ht="336.0" customHeight="1">
      <c r="A855" s="126"/>
      <c r="B855" s="127"/>
    </row>
    <row r="856" ht="336.0" customHeight="1">
      <c r="A856" s="126"/>
      <c r="B856" s="127"/>
    </row>
    <row r="857" ht="336.0" customHeight="1">
      <c r="A857" s="126"/>
      <c r="B857" s="127"/>
    </row>
    <row r="858" ht="336.0" customHeight="1">
      <c r="A858" s="126"/>
      <c r="B858" s="127"/>
    </row>
    <row r="859" ht="336.0" customHeight="1">
      <c r="A859" s="126"/>
      <c r="B859" s="127"/>
    </row>
    <row r="860" ht="336.0" customHeight="1">
      <c r="A860" s="126"/>
      <c r="B860" s="127"/>
    </row>
    <row r="861" ht="336.0" customHeight="1">
      <c r="A861" s="126"/>
      <c r="B861" s="127"/>
    </row>
    <row r="862" ht="336.0" customHeight="1">
      <c r="A862" s="126"/>
      <c r="B862" s="127"/>
    </row>
    <row r="863" ht="336.0" customHeight="1">
      <c r="A863" s="126"/>
      <c r="B863" s="127"/>
    </row>
    <row r="864" ht="336.0" customHeight="1">
      <c r="A864" s="126"/>
      <c r="B864" s="127"/>
    </row>
    <row r="865" ht="336.0" customHeight="1">
      <c r="A865" s="126"/>
      <c r="B865" s="127"/>
    </row>
    <row r="866" ht="336.0" customHeight="1">
      <c r="A866" s="126"/>
      <c r="B866" s="127"/>
    </row>
    <row r="867" ht="336.0" customHeight="1">
      <c r="A867" s="126"/>
      <c r="B867" s="127"/>
    </row>
    <row r="868" ht="336.0" customHeight="1">
      <c r="A868" s="126"/>
      <c r="B868" s="127"/>
    </row>
    <row r="869" ht="336.0" customHeight="1">
      <c r="A869" s="126"/>
      <c r="B869" s="127"/>
    </row>
    <row r="870" ht="336.0" customHeight="1">
      <c r="A870" s="126"/>
      <c r="B870" s="127"/>
    </row>
    <row r="871" ht="336.0" customHeight="1">
      <c r="A871" s="126"/>
      <c r="B871" s="127"/>
    </row>
    <row r="872" ht="336.0" customHeight="1">
      <c r="A872" s="126"/>
      <c r="B872" s="127"/>
    </row>
    <row r="873" ht="336.0" customHeight="1">
      <c r="A873" s="126"/>
      <c r="B873" s="127"/>
    </row>
    <row r="874" ht="336.0" customHeight="1">
      <c r="A874" s="126"/>
      <c r="B874" s="127"/>
    </row>
    <row r="875" ht="336.0" customHeight="1">
      <c r="A875" s="126"/>
      <c r="B875" s="127"/>
    </row>
    <row r="876" ht="336.0" customHeight="1">
      <c r="A876" s="126"/>
      <c r="B876" s="127"/>
    </row>
    <row r="877" ht="336.0" customHeight="1">
      <c r="A877" s="126"/>
      <c r="B877" s="127"/>
    </row>
    <row r="878" ht="336.0" customHeight="1">
      <c r="A878" s="126"/>
      <c r="B878" s="127"/>
    </row>
    <row r="879" ht="336.0" customHeight="1">
      <c r="A879" s="126"/>
      <c r="B879" s="127"/>
    </row>
    <row r="880" ht="336.0" customHeight="1">
      <c r="A880" s="126"/>
      <c r="B880" s="127"/>
    </row>
    <row r="881" ht="336.0" customHeight="1">
      <c r="A881" s="126"/>
      <c r="B881" s="127"/>
    </row>
    <row r="882" ht="336.0" customHeight="1">
      <c r="A882" s="126"/>
      <c r="B882" s="127"/>
    </row>
    <row r="883" ht="336.0" customHeight="1">
      <c r="A883" s="126"/>
      <c r="B883" s="127"/>
    </row>
    <row r="884" ht="336.0" customHeight="1">
      <c r="A884" s="126"/>
      <c r="B884" s="127"/>
    </row>
    <row r="885" ht="336.0" customHeight="1">
      <c r="A885" s="126"/>
      <c r="B885" s="127"/>
    </row>
    <row r="886" ht="336.0" customHeight="1">
      <c r="A886" s="126"/>
      <c r="B886" s="127"/>
    </row>
    <row r="887" ht="336.0" customHeight="1">
      <c r="A887" s="126"/>
      <c r="B887" s="127"/>
    </row>
    <row r="888" ht="336.0" customHeight="1">
      <c r="A888" s="126"/>
      <c r="B888" s="127"/>
    </row>
    <row r="889" ht="336.0" customHeight="1">
      <c r="A889" s="126"/>
      <c r="B889" s="127"/>
    </row>
    <row r="890" ht="336.0" customHeight="1">
      <c r="A890" s="126"/>
      <c r="B890" s="127"/>
    </row>
    <row r="891" ht="336.0" customHeight="1">
      <c r="A891" s="126"/>
      <c r="B891" s="127"/>
    </row>
    <row r="892" ht="336.0" customHeight="1">
      <c r="A892" s="126"/>
      <c r="B892" s="127"/>
    </row>
    <row r="893" ht="336.0" customHeight="1">
      <c r="A893" s="126"/>
      <c r="B893" s="127"/>
    </row>
    <row r="894" ht="336.0" customHeight="1">
      <c r="A894" s="126"/>
      <c r="B894" s="127"/>
    </row>
    <row r="895" ht="336.0" customHeight="1">
      <c r="A895" s="126"/>
      <c r="B895" s="127"/>
    </row>
    <row r="896" ht="336.0" customHeight="1">
      <c r="A896" s="126"/>
      <c r="B896" s="127"/>
    </row>
    <row r="897" ht="336.0" customHeight="1">
      <c r="A897" s="126"/>
      <c r="B897" s="127"/>
    </row>
    <row r="898" ht="336.0" customHeight="1">
      <c r="A898" s="126"/>
      <c r="B898" s="127"/>
    </row>
    <row r="899" ht="336.0" customHeight="1">
      <c r="A899" s="126"/>
      <c r="B899" s="127"/>
    </row>
    <row r="900" ht="336.0" customHeight="1">
      <c r="A900" s="126"/>
      <c r="B900" s="127"/>
    </row>
    <row r="901" ht="336.0" customHeight="1">
      <c r="A901" s="126"/>
      <c r="B901" s="127"/>
    </row>
    <row r="902" ht="336.0" customHeight="1">
      <c r="A902" s="126"/>
      <c r="B902" s="127"/>
    </row>
    <row r="903" ht="336.0" customHeight="1">
      <c r="A903" s="126"/>
      <c r="B903" s="127"/>
    </row>
    <row r="904" ht="336.0" customHeight="1">
      <c r="A904" s="126"/>
      <c r="B904" s="127"/>
    </row>
    <row r="905" ht="336.0" customHeight="1">
      <c r="A905" s="126"/>
      <c r="B905" s="127"/>
    </row>
    <row r="906" ht="336.0" customHeight="1">
      <c r="A906" s="126"/>
      <c r="B906" s="127"/>
    </row>
    <row r="907" ht="336.0" customHeight="1">
      <c r="A907" s="126"/>
      <c r="B907" s="127"/>
    </row>
    <row r="908" ht="336.0" customHeight="1">
      <c r="A908" s="126"/>
      <c r="B908" s="127"/>
    </row>
    <row r="909" ht="336.0" customHeight="1">
      <c r="A909" s="126"/>
      <c r="B909" s="127"/>
    </row>
    <row r="910" ht="336.0" customHeight="1">
      <c r="A910" s="126"/>
      <c r="B910" s="127"/>
    </row>
    <row r="911" ht="336.0" customHeight="1">
      <c r="A911" s="126"/>
      <c r="B911" s="127"/>
    </row>
    <row r="912" ht="336.0" customHeight="1">
      <c r="A912" s="126"/>
      <c r="B912" s="127"/>
    </row>
    <row r="913" ht="336.0" customHeight="1">
      <c r="A913" s="126"/>
      <c r="B913" s="127"/>
    </row>
    <row r="914" ht="336.0" customHeight="1">
      <c r="A914" s="126"/>
      <c r="B914" s="127"/>
    </row>
    <row r="915" ht="336.0" customHeight="1">
      <c r="A915" s="126"/>
      <c r="B915" s="127"/>
    </row>
    <row r="916" ht="336.0" customHeight="1">
      <c r="A916" s="126"/>
      <c r="B916" s="127"/>
    </row>
    <row r="917" ht="336.0" customHeight="1">
      <c r="A917" s="126"/>
      <c r="B917" s="127"/>
    </row>
    <row r="918" ht="336.0" customHeight="1">
      <c r="A918" s="126"/>
      <c r="B918" s="127"/>
    </row>
    <row r="919" ht="336.0" customHeight="1">
      <c r="A919" s="126"/>
      <c r="B919" s="127"/>
    </row>
    <row r="920" ht="336.0" customHeight="1">
      <c r="A920" s="126"/>
      <c r="B920" s="127"/>
    </row>
    <row r="921" ht="336.0" customHeight="1">
      <c r="A921" s="126"/>
      <c r="B921" s="127"/>
    </row>
    <row r="922" ht="336.0" customHeight="1">
      <c r="A922" s="126"/>
      <c r="B922" s="127"/>
    </row>
    <row r="923" ht="336.0" customHeight="1">
      <c r="A923" s="126"/>
      <c r="B923" s="127"/>
    </row>
    <row r="924" ht="336.0" customHeight="1">
      <c r="A924" s="126"/>
      <c r="B924" s="127"/>
    </row>
    <row r="925" ht="336.0" customHeight="1">
      <c r="A925" s="126"/>
      <c r="B925" s="127"/>
    </row>
    <row r="926" ht="336.0" customHeight="1">
      <c r="A926" s="126"/>
      <c r="B926" s="127"/>
    </row>
    <row r="927" ht="336.0" customHeight="1">
      <c r="A927" s="126"/>
      <c r="B927" s="127"/>
    </row>
    <row r="928" ht="336.0" customHeight="1">
      <c r="A928" s="126"/>
      <c r="B928" s="127"/>
    </row>
    <row r="929" ht="336.0" customHeight="1">
      <c r="A929" s="126"/>
      <c r="B929" s="127"/>
    </row>
    <row r="930" ht="336.0" customHeight="1">
      <c r="A930" s="126"/>
      <c r="B930" s="127"/>
    </row>
    <row r="931" ht="336.0" customHeight="1">
      <c r="A931" s="126"/>
      <c r="B931" s="127"/>
    </row>
    <row r="932" ht="336.0" customHeight="1">
      <c r="A932" s="126"/>
      <c r="B932" s="127"/>
    </row>
    <row r="933" ht="336.0" customHeight="1">
      <c r="A933" s="126"/>
      <c r="B933" s="127"/>
    </row>
    <row r="934" ht="336.0" customHeight="1">
      <c r="A934" s="126"/>
      <c r="B934" s="127"/>
    </row>
    <row r="935" ht="336.0" customHeight="1">
      <c r="A935" s="126"/>
      <c r="B935" s="127"/>
    </row>
    <row r="936" ht="336.0" customHeight="1">
      <c r="A936" s="126"/>
      <c r="B936" s="127"/>
    </row>
    <row r="937" ht="336.0" customHeight="1">
      <c r="A937" s="126"/>
      <c r="B937" s="127"/>
    </row>
    <row r="938" ht="336.0" customHeight="1">
      <c r="A938" s="126"/>
      <c r="B938" s="127"/>
    </row>
    <row r="939" ht="336.0" customHeight="1">
      <c r="A939" s="126"/>
      <c r="B939" s="127"/>
    </row>
    <row r="940" ht="336.0" customHeight="1">
      <c r="A940" s="126"/>
      <c r="B940" s="127"/>
    </row>
    <row r="941" ht="336.0" customHeight="1">
      <c r="A941" s="126"/>
      <c r="B941" s="127"/>
    </row>
    <row r="942" ht="336.0" customHeight="1">
      <c r="A942" s="126"/>
      <c r="B942" s="127"/>
    </row>
    <row r="943" ht="336.0" customHeight="1">
      <c r="A943" s="126"/>
      <c r="B943" s="127"/>
    </row>
    <row r="944" ht="336.0" customHeight="1">
      <c r="A944" s="126"/>
      <c r="B944" s="127"/>
    </row>
    <row r="945" ht="336.0" customHeight="1">
      <c r="A945" s="126"/>
      <c r="B945" s="127"/>
    </row>
    <row r="946" ht="336.0" customHeight="1">
      <c r="A946" s="126"/>
      <c r="B946" s="127"/>
    </row>
    <row r="947" ht="336.0" customHeight="1">
      <c r="A947" s="126"/>
      <c r="B947" s="127"/>
    </row>
    <row r="948" ht="336.0" customHeight="1">
      <c r="A948" s="126"/>
      <c r="B948" s="127"/>
    </row>
    <row r="949" ht="336.0" customHeight="1">
      <c r="A949" s="126"/>
      <c r="B949" s="127"/>
    </row>
    <row r="950" ht="336.0" customHeight="1">
      <c r="A950" s="126"/>
      <c r="B950" s="127"/>
    </row>
    <row r="951" ht="336.0" customHeight="1">
      <c r="A951" s="126"/>
      <c r="B951" s="127"/>
    </row>
    <row r="952" ht="336.0" customHeight="1">
      <c r="A952" s="126"/>
      <c r="B952" s="127"/>
    </row>
    <row r="953" ht="336.0" customHeight="1">
      <c r="A953" s="126"/>
      <c r="B953" s="127"/>
    </row>
    <row r="954" ht="336.0" customHeight="1">
      <c r="A954" s="126"/>
      <c r="B954" s="127"/>
    </row>
    <row r="955" ht="336.0" customHeight="1">
      <c r="A955" s="126"/>
      <c r="B955" s="127"/>
    </row>
    <row r="956" ht="336.0" customHeight="1">
      <c r="A956" s="126"/>
      <c r="B956" s="127"/>
    </row>
    <row r="957" ht="336.0" customHeight="1">
      <c r="A957" s="126"/>
      <c r="B957" s="127"/>
    </row>
    <row r="958" ht="336.0" customHeight="1">
      <c r="A958" s="126"/>
      <c r="B958" s="127"/>
    </row>
    <row r="959" ht="336.0" customHeight="1">
      <c r="A959" s="126"/>
      <c r="B959" s="127"/>
    </row>
    <row r="960" ht="336.0" customHeight="1">
      <c r="A960" s="126"/>
      <c r="B960" s="127"/>
    </row>
    <row r="961" ht="336.0" customHeight="1">
      <c r="A961" s="126"/>
      <c r="B961" s="127"/>
    </row>
    <row r="962" ht="336.0" customHeight="1">
      <c r="A962" s="126"/>
      <c r="B962" s="127"/>
    </row>
    <row r="963" ht="336.0" customHeight="1">
      <c r="A963" s="126"/>
      <c r="B963" s="127"/>
    </row>
    <row r="964" ht="336.0" customHeight="1">
      <c r="A964" s="126"/>
      <c r="B964" s="127"/>
    </row>
    <row r="965" ht="336.0" customHeight="1">
      <c r="A965" s="126"/>
      <c r="B965" s="127"/>
    </row>
    <row r="966" ht="336.0" customHeight="1">
      <c r="A966" s="126"/>
      <c r="B966" s="127"/>
    </row>
    <row r="967" ht="336.0" customHeight="1">
      <c r="A967" s="126"/>
      <c r="B967" s="127"/>
    </row>
    <row r="968" ht="336.0" customHeight="1">
      <c r="A968" s="126"/>
      <c r="B968" s="127"/>
    </row>
    <row r="969" ht="336.0" customHeight="1">
      <c r="A969" s="126"/>
      <c r="B969" s="127"/>
    </row>
    <row r="970" ht="336.0" customHeight="1">
      <c r="A970" s="126"/>
      <c r="B970" s="127"/>
    </row>
    <row r="971" ht="336.0" customHeight="1">
      <c r="A971" s="126"/>
      <c r="B971" s="127"/>
    </row>
    <row r="972" ht="336.0" customHeight="1">
      <c r="A972" s="126"/>
      <c r="B972" s="127"/>
    </row>
    <row r="973" ht="336.0" customHeight="1">
      <c r="A973" s="126"/>
      <c r="B973" s="127"/>
    </row>
    <row r="974" ht="336.0" customHeight="1">
      <c r="A974" s="126"/>
      <c r="B974" s="127"/>
    </row>
    <row r="975" ht="336.0" customHeight="1">
      <c r="A975" s="126"/>
      <c r="B975" s="127"/>
    </row>
    <row r="976" ht="336.0" customHeight="1">
      <c r="A976" s="126"/>
      <c r="B976" s="127"/>
    </row>
    <row r="977" ht="336.0" customHeight="1">
      <c r="A977" s="126"/>
      <c r="B977" s="127"/>
    </row>
  </sheetData>
  <mergeCells count="2">
    <mergeCell ref="A1:B1"/>
    <mergeCell ref="A16:C16"/>
  </mergeCells>
  <drawing r:id="rId1"/>
</worksheet>
</file>